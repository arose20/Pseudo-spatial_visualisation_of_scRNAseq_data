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wcastle-my.sharepoint.com/personal/b7018401_newcastle_ac_uk/Documents/One_drive_backups/"/>
    </mc:Choice>
  </mc:AlternateContent>
  <xr:revisionPtr revIDLastSave="77" documentId="13_ncr:1_{A744BCF5-1A97-4C18-AAC2-129FF34AE540}" xr6:coauthVersionLast="47" xr6:coauthVersionMax="47" xr10:uidLastSave="{2E5D6786-0BFA-46F2-A92B-9FEE7307AA7F}"/>
  <bookViews>
    <workbookView xWindow="0" yWindow="0" windowWidth="28800" windowHeight="15600" xr2:uid="{0C38A0AE-113D-4A45-97F4-A7511A4B8723}"/>
  </bookViews>
  <sheets>
    <sheet name="Sheet1" sheetId="1" r:id="rId1"/>
  </sheets>
  <definedNames>
    <definedName name="actcolorcode">Sheet1!$K$7</definedName>
    <definedName name="actorder">Sheet1!$K$4</definedName>
    <definedName name="actstate">Sheet1!$K$5</definedName>
    <definedName name="actstatevalue">Sheet1!$K$6</definedName>
    <definedName name="color1">Sheet1!$H$4</definedName>
    <definedName name="color10">Sheet1!$H$13</definedName>
    <definedName name="color2">Sheet1!$H$5</definedName>
    <definedName name="color3">Sheet1!$H$6</definedName>
    <definedName name="color4">Sheet1!$H$7</definedName>
    <definedName name="color5">Sheet1!$H$8</definedName>
    <definedName name="color6">Sheet1!$H$9</definedName>
    <definedName name="color7">Sheet1!$H$10</definedName>
    <definedName name="color8">Sheet1!$H$11</definedName>
    <definedName name="color9">Sheet1!$H$12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" l="1"/>
  <c r="K7" i="1" s="1"/>
  <c r="K5" i="1"/>
</calcChain>
</file>

<file path=xl/sharedStrings.xml><?xml version="1.0" encoding="utf-8"?>
<sst xmlns="http://schemas.openxmlformats.org/spreadsheetml/2006/main" count="27" uniqueCount="23">
  <si>
    <t>Data Table</t>
  </si>
  <si>
    <t>Legend</t>
  </si>
  <si>
    <t>Helper Table</t>
  </si>
  <si>
    <t>Order</t>
  </si>
  <si>
    <t>Shape</t>
  </si>
  <si>
    <t>Expression</t>
  </si>
  <si>
    <t>Min</t>
  </si>
  <si>
    <t>Max</t>
  </si>
  <si>
    <t>Color</t>
  </si>
  <si>
    <t>Info</t>
  </si>
  <si>
    <t>Data</t>
  </si>
  <si>
    <t>Section_1</t>
  </si>
  <si>
    <t>Section_2</t>
  </si>
  <si>
    <t>Section_3</t>
  </si>
  <si>
    <t>Section_4</t>
  </si>
  <si>
    <t>Section_5</t>
  </si>
  <si>
    <t>Section_6</t>
  </si>
  <si>
    <t>Section_7</t>
  </si>
  <si>
    <t>Section_8</t>
  </si>
  <si>
    <t>Section_9</t>
  </si>
  <si>
    <t>Section_10</t>
  </si>
  <si>
    <t>Section_11</t>
  </si>
  <si>
    <t>Section_12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</si>
</sst>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440154"/>
        <bgColor indexed="64"/>
      </patternFill>
    </fill>
    <fill>
      <patternFill patternType="solid">
        <fgColor rgb="FF482878"/>
        <bgColor indexed="64"/>
      </patternFill>
    </fill>
    <fill>
      <patternFill patternType="solid">
        <fgColor rgb="FF3E4989"/>
        <bgColor indexed="64"/>
      </patternFill>
    </fill>
    <fill>
      <patternFill patternType="solid">
        <fgColor rgb="FF31688E"/>
        <bgColor indexed="64"/>
      </patternFill>
    </fill>
    <fill>
      <patternFill patternType="solid">
        <fgColor rgb="FF26828E"/>
        <bgColor indexed="64"/>
      </patternFill>
    </fill>
    <fill>
      <patternFill patternType="solid">
        <fgColor rgb="FF1F9E89"/>
        <bgColor indexed="64"/>
      </patternFill>
    </fill>
    <fill>
      <patternFill patternType="solid">
        <fgColor rgb="FF35B779"/>
        <bgColor indexed="64"/>
      </patternFill>
    </fill>
    <fill>
      <patternFill patternType="solid">
        <fgColor rgb="FF6ECE58"/>
        <bgColor indexed="64"/>
      </patternFill>
    </fill>
    <fill>
      <patternFill patternType="solid">
        <fgColor rgb="FFB5DE2B"/>
        <bgColor indexed="64"/>
      </patternFill>
    </fill>
    <fill>
      <patternFill patternType="solid">
        <fgColor rgb="FFFDE72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25"/>
      <color rgb="FFB5DE2B"/>
      <color rgb="FF6ECE58"/>
      <color rgb="FF35B779"/>
      <color rgb="FF1F9E89"/>
      <color rgb="FF26828E"/>
      <color rgb="FF31688E"/>
      <color rgb="FF3E4989"/>
      <color rgb="FF482878"/>
      <color rgb="FF4401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594817</xdr:colOff>
      <xdr:row>18</xdr:row>
      <xdr:rowOff>23881</xdr:rowOff>
    </xdr:from>
    <xdr:to>
      <xdr:col>3</xdr:col>
      <xdr:colOff>165806</xdr:colOff>
      <xdr:row>21</xdr:row>
      <xdr:rowOff>57051</xdr:rowOff>
    </xdr:to>
    <xdr:sp macro="" textlink="">
      <xdr:nvSpPr>
        <xdr:cNvPr id="4" name="Section_1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94817" y="3273385"/>
          <a:ext cx="1558516" cy="574754"/>
        </a:xfrm>
        <a:custGeom>
          <a:avLst/>
          <a:gdLst>
            <a:gd name="connsiteX0" fmla="*/ 0 w 1556749"/>
            <a:gd name="connsiteY0" fmla="*/ 0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0 w 1556749"/>
            <a:gd name="connsiteY4" fmla="*/ 0 h 659223"/>
            <a:gd name="connsiteX0" fmla="*/ 204788 w 1556749"/>
            <a:gd name="connsiteY0" fmla="*/ 9525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204788 w 1556749"/>
            <a:gd name="connsiteY4" fmla="*/ 9525 h 659223"/>
            <a:gd name="connsiteX0" fmla="*/ 204788 w 1556749"/>
            <a:gd name="connsiteY0" fmla="*/ 9525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204788 w 1556749"/>
            <a:gd name="connsiteY4" fmla="*/ 9525 h 659223"/>
            <a:gd name="connsiteX0" fmla="*/ 609601 w 1556749"/>
            <a:gd name="connsiteY0" fmla="*/ 14287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609601 w 1556749"/>
            <a:gd name="connsiteY4" fmla="*/ 14287 h 659223"/>
            <a:gd name="connsiteX0" fmla="*/ 609601 w 1556749"/>
            <a:gd name="connsiteY0" fmla="*/ 32565 h 677501"/>
            <a:gd name="connsiteX1" fmla="*/ 1556749 w 1556749"/>
            <a:gd name="connsiteY1" fmla="*/ 18278 h 677501"/>
            <a:gd name="connsiteX2" fmla="*/ 1556749 w 1556749"/>
            <a:gd name="connsiteY2" fmla="*/ 677501 h 677501"/>
            <a:gd name="connsiteX3" fmla="*/ 0 w 1556749"/>
            <a:gd name="connsiteY3" fmla="*/ 677501 h 677501"/>
            <a:gd name="connsiteX4" fmla="*/ 609601 w 1556749"/>
            <a:gd name="connsiteY4" fmla="*/ 32565 h 677501"/>
            <a:gd name="connsiteX0" fmla="*/ 609601 w 1556749"/>
            <a:gd name="connsiteY0" fmla="*/ 18222 h 663158"/>
            <a:gd name="connsiteX1" fmla="*/ 1547224 w 1556749"/>
            <a:gd name="connsiteY1" fmla="*/ 84897 h 663158"/>
            <a:gd name="connsiteX2" fmla="*/ 1556749 w 1556749"/>
            <a:gd name="connsiteY2" fmla="*/ 663158 h 663158"/>
            <a:gd name="connsiteX3" fmla="*/ 0 w 1556749"/>
            <a:gd name="connsiteY3" fmla="*/ 663158 h 663158"/>
            <a:gd name="connsiteX4" fmla="*/ 609601 w 1556749"/>
            <a:gd name="connsiteY4" fmla="*/ 18222 h 663158"/>
            <a:gd name="connsiteX0" fmla="*/ 497065 w 1556749"/>
            <a:gd name="connsiteY0" fmla="*/ 157291 h 578261"/>
            <a:gd name="connsiteX1" fmla="*/ 1547224 w 1556749"/>
            <a:gd name="connsiteY1" fmla="*/ 0 h 578261"/>
            <a:gd name="connsiteX2" fmla="*/ 1556749 w 1556749"/>
            <a:gd name="connsiteY2" fmla="*/ 578261 h 578261"/>
            <a:gd name="connsiteX3" fmla="*/ 0 w 1556749"/>
            <a:gd name="connsiteY3" fmla="*/ 578261 h 578261"/>
            <a:gd name="connsiteX4" fmla="*/ 497065 w 1556749"/>
            <a:gd name="connsiteY4" fmla="*/ 157291 h 578261"/>
            <a:gd name="connsiteX0" fmla="*/ 497065 w 1562805"/>
            <a:gd name="connsiteY0" fmla="*/ 34897 h 455867"/>
            <a:gd name="connsiteX1" fmla="*/ 1562805 w 1562805"/>
            <a:gd name="connsiteY1" fmla="*/ 13708 h 455867"/>
            <a:gd name="connsiteX2" fmla="*/ 1556749 w 1562805"/>
            <a:gd name="connsiteY2" fmla="*/ 455867 h 455867"/>
            <a:gd name="connsiteX3" fmla="*/ 0 w 1562805"/>
            <a:gd name="connsiteY3" fmla="*/ 455867 h 455867"/>
            <a:gd name="connsiteX4" fmla="*/ 497065 w 1562805"/>
            <a:gd name="connsiteY4" fmla="*/ 34897 h 455867"/>
            <a:gd name="connsiteX0" fmla="*/ 497065 w 1556956"/>
            <a:gd name="connsiteY0" fmla="*/ 155755 h 576725"/>
            <a:gd name="connsiteX1" fmla="*/ 1547346 w 1556956"/>
            <a:gd name="connsiteY1" fmla="*/ 0 h 576725"/>
            <a:gd name="connsiteX2" fmla="*/ 1556749 w 1556956"/>
            <a:gd name="connsiteY2" fmla="*/ 576725 h 576725"/>
            <a:gd name="connsiteX3" fmla="*/ 0 w 1556956"/>
            <a:gd name="connsiteY3" fmla="*/ 576725 h 576725"/>
            <a:gd name="connsiteX4" fmla="*/ 497065 w 1556956"/>
            <a:gd name="connsiteY4" fmla="*/ 155755 h 576725"/>
            <a:gd name="connsiteX0" fmla="*/ 694589 w 1556956"/>
            <a:gd name="connsiteY0" fmla="*/ 93648 h 576725"/>
            <a:gd name="connsiteX1" fmla="*/ 1547346 w 1556956"/>
            <a:gd name="connsiteY1" fmla="*/ 0 h 576725"/>
            <a:gd name="connsiteX2" fmla="*/ 1556749 w 1556956"/>
            <a:gd name="connsiteY2" fmla="*/ 576725 h 576725"/>
            <a:gd name="connsiteX3" fmla="*/ 0 w 1556956"/>
            <a:gd name="connsiteY3" fmla="*/ 576725 h 576725"/>
            <a:gd name="connsiteX4" fmla="*/ 694589 w 1556956"/>
            <a:gd name="connsiteY4" fmla="*/ 93648 h 57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556956" h="576725">
              <a:moveTo>
                <a:pt x="694589" y="93648"/>
              </a:moveTo>
              <a:cubicBezTo>
                <a:pt x="1024593" y="26974"/>
                <a:pt x="1231630" y="4762"/>
                <a:pt x="1547346" y="0"/>
              </a:cubicBezTo>
              <a:cubicBezTo>
                <a:pt x="1545327" y="147386"/>
                <a:pt x="1558768" y="429339"/>
                <a:pt x="1556749" y="576725"/>
              </a:cubicBezTo>
              <a:lnTo>
                <a:pt x="0" y="576725"/>
              </a:lnTo>
              <a:cubicBezTo>
                <a:pt x="68263" y="360159"/>
                <a:pt x="464401" y="81614"/>
                <a:pt x="694589" y="93648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547448</xdr:colOff>
      <xdr:row>21</xdr:row>
      <xdr:rowOff>60537</xdr:rowOff>
    </xdr:from>
    <xdr:to>
      <xdr:col>2</xdr:col>
      <xdr:colOff>69021</xdr:colOff>
      <xdr:row>25</xdr:row>
      <xdr:rowOff>71192</xdr:rowOff>
    </xdr:to>
    <xdr:sp macro="" textlink="">
      <xdr:nvSpPr>
        <xdr:cNvPr id="5" name="Section_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7448" y="3875447"/>
          <a:ext cx="817759" cy="737304"/>
        </a:xfrm>
        <a:custGeom>
          <a:avLst/>
          <a:gdLst>
            <a:gd name="connsiteX0" fmla="*/ 0 w 773315"/>
            <a:gd name="connsiteY0" fmla="*/ 0 h 660280"/>
            <a:gd name="connsiteX1" fmla="*/ 773315 w 773315"/>
            <a:gd name="connsiteY1" fmla="*/ 0 h 660280"/>
            <a:gd name="connsiteX2" fmla="*/ 773315 w 773315"/>
            <a:gd name="connsiteY2" fmla="*/ 660280 h 660280"/>
            <a:gd name="connsiteX3" fmla="*/ 0 w 773315"/>
            <a:gd name="connsiteY3" fmla="*/ 660280 h 660280"/>
            <a:gd name="connsiteX4" fmla="*/ 0 w 773315"/>
            <a:gd name="connsiteY4" fmla="*/ 0 h 660280"/>
            <a:gd name="connsiteX0" fmla="*/ 44632 w 817947"/>
            <a:gd name="connsiteY0" fmla="*/ 0 h 660280"/>
            <a:gd name="connsiteX1" fmla="*/ 817947 w 817947"/>
            <a:gd name="connsiteY1" fmla="*/ 0 h 660280"/>
            <a:gd name="connsiteX2" fmla="*/ 817947 w 817947"/>
            <a:gd name="connsiteY2" fmla="*/ 660280 h 660280"/>
            <a:gd name="connsiteX3" fmla="*/ 44632 w 817947"/>
            <a:gd name="connsiteY3" fmla="*/ 660280 h 660280"/>
            <a:gd name="connsiteX4" fmla="*/ 44632 w 817947"/>
            <a:gd name="connsiteY4" fmla="*/ 0 h 660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17947" h="660280">
              <a:moveTo>
                <a:pt x="44632" y="0"/>
              </a:moveTo>
              <a:lnTo>
                <a:pt x="817947" y="0"/>
              </a:lnTo>
              <a:lnTo>
                <a:pt x="817947" y="660280"/>
              </a:lnTo>
              <a:lnTo>
                <a:pt x="44632" y="660280"/>
              </a:lnTo>
              <a:cubicBezTo>
                <a:pt x="-55791" y="-33020"/>
                <a:pt x="44632" y="220093"/>
                <a:pt x="44632" y="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78224</xdr:colOff>
      <xdr:row>21</xdr:row>
      <xdr:rowOff>54520</xdr:rowOff>
    </xdr:from>
    <xdr:to>
      <xdr:col>3</xdr:col>
      <xdr:colOff>177234</xdr:colOff>
      <xdr:row>25</xdr:row>
      <xdr:rowOff>73646</xdr:rowOff>
    </xdr:to>
    <xdr:sp macro="" textlink="">
      <xdr:nvSpPr>
        <xdr:cNvPr id="6" name="Section_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4410" y="3869430"/>
          <a:ext cx="788836" cy="745775"/>
        </a:xfrm>
        <a:prstGeom prst="rect">
          <a:avLst/>
        </a:pr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182848</xdr:colOff>
      <xdr:row>21</xdr:row>
      <xdr:rowOff>44137</xdr:rowOff>
    </xdr:from>
    <xdr:to>
      <xdr:col>5</xdr:col>
      <xdr:colOff>187223</xdr:colOff>
      <xdr:row>25</xdr:row>
      <xdr:rowOff>79600</xdr:rowOff>
    </xdr:to>
    <xdr:sp macro="" textlink="">
      <xdr:nvSpPr>
        <xdr:cNvPr id="7" name="Section_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68797" y="3840645"/>
          <a:ext cx="1299559" cy="758608"/>
        </a:xfrm>
        <a:custGeom>
          <a:avLst/>
          <a:gdLst>
            <a:gd name="connsiteX0" fmla="*/ 0 w 1554104"/>
            <a:gd name="connsiteY0" fmla="*/ 0 h 659224"/>
            <a:gd name="connsiteX1" fmla="*/ 1554104 w 1554104"/>
            <a:gd name="connsiteY1" fmla="*/ 0 h 659224"/>
            <a:gd name="connsiteX2" fmla="*/ 1554104 w 1554104"/>
            <a:gd name="connsiteY2" fmla="*/ 659224 h 659224"/>
            <a:gd name="connsiteX3" fmla="*/ 0 w 1554104"/>
            <a:gd name="connsiteY3" fmla="*/ 659224 h 659224"/>
            <a:gd name="connsiteX4" fmla="*/ 0 w 1554104"/>
            <a:gd name="connsiteY4" fmla="*/ 0 h 659224"/>
            <a:gd name="connsiteX0" fmla="*/ 0 w 1554104"/>
            <a:gd name="connsiteY0" fmla="*/ 0 h 659224"/>
            <a:gd name="connsiteX1" fmla="*/ 1401704 w 1554104"/>
            <a:gd name="connsiteY1" fmla="*/ 28575 h 659224"/>
            <a:gd name="connsiteX2" fmla="*/ 1554104 w 1554104"/>
            <a:gd name="connsiteY2" fmla="*/ 659224 h 659224"/>
            <a:gd name="connsiteX3" fmla="*/ 0 w 1554104"/>
            <a:gd name="connsiteY3" fmla="*/ 659224 h 659224"/>
            <a:gd name="connsiteX4" fmla="*/ 0 w 1554104"/>
            <a:gd name="connsiteY4" fmla="*/ 0 h 659224"/>
            <a:gd name="connsiteX0" fmla="*/ 0 w 1554104"/>
            <a:gd name="connsiteY0" fmla="*/ 0 h 659224"/>
            <a:gd name="connsiteX1" fmla="*/ 1401704 w 1554104"/>
            <a:gd name="connsiteY1" fmla="*/ 28575 h 659224"/>
            <a:gd name="connsiteX2" fmla="*/ 1554104 w 1554104"/>
            <a:gd name="connsiteY2" fmla="*/ 659224 h 659224"/>
            <a:gd name="connsiteX3" fmla="*/ 0 w 1554104"/>
            <a:gd name="connsiteY3" fmla="*/ 659224 h 659224"/>
            <a:gd name="connsiteX4" fmla="*/ 0 w 1554104"/>
            <a:gd name="connsiteY4" fmla="*/ 0 h 659224"/>
            <a:gd name="connsiteX0" fmla="*/ 0 w 1452554"/>
            <a:gd name="connsiteY0" fmla="*/ 0 h 659224"/>
            <a:gd name="connsiteX1" fmla="*/ 1401704 w 1452554"/>
            <a:gd name="connsiteY1" fmla="*/ 28575 h 659224"/>
            <a:gd name="connsiteX2" fmla="*/ 1401704 w 1452554"/>
            <a:gd name="connsiteY2" fmla="*/ 635411 h 659224"/>
            <a:gd name="connsiteX3" fmla="*/ 0 w 1452554"/>
            <a:gd name="connsiteY3" fmla="*/ 659224 h 659224"/>
            <a:gd name="connsiteX4" fmla="*/ 0 w 1452554"/>
            <a:gd name="connsiteY4" fmla="*/ 0 h 659224"/>
            <a:gd name="connsiteX0" fmla="*/ 0 w 1456992"/>
            <a:gd name="connsiteY0" fmla="*/ 9213 h 668437"/>
            <a:gd name="connsiteX1" fmla="*/ 1407147 w 1456992"/>
            <a:gd name="connsiteY1" fmla="*/ 0 h 668437"/>
            <a:gd name="connsiteX2" fmla="*/ 1401704 w 1456992"/>
            <a:gd name="connsiteY2" fmla="*/ 644624 h 668437"/>
            <a:gd name="connsiteX3" fmla="*/ 0 w 1456992"/>
            <a:gd name="connsiteY3" fmla="*/ 668437 h 668437"/>
            <a:gd name="connsiteX4" fmla="*/ 0 w 1456992"/>
            <a:gd name="connsiteY4" fmla="*/ 9213 h 668437"/>
            <a:gd name="connsiteX0" fmla="*/ 0 w 1454842"/>
            <a:gd name="connsiteY0" fmla="*/ 9213 h 668437"/>
            <a:gd name="connsiteX1" fmla="*/ 1407147 w 1454842"/>
            <a:gd name="connsiteY1" fmla="*/ 0 h 668437"/>
            <a:gd name="connsiteX2" fmla="*/ 1389272 w 1454842"/>
            <a:gd name="connsiteY2" fmla="*/ 634701 h 668437"/>
            <a:gd name="connsiteX3" fmla="*/ 0 w 1454842"/>
            <a:gd name="connsiteY3" fmla="*/ 668437 h 668437"/>
            <a:gd name="connsiteX4" fmla="*/ 0 w 1454842"/>
            <a:gd name="connsiteY4" fmla="*/ 9213 h 668437"/>
            <a:gd name="connsiteX0" fmla="*/ 0 w 1456768"/>
            <a:gd name="connsiteY0" fmla="*/ 9213 h 668437"/>
            <a:gd name="connsiteX1" fmla="*/ 1407147 w 1456768"/>
            <a:gd name="connsiteY1" fmla="*/ 0 h 668437"/>
            <a:gd name="connsiteX2" fmla="*/ 1400462 w 1456768"/>
            <a:gd name="connsiteY2" fmla="*/ 634701 h 668437"/>
            <a:gd name="connsiteX3" fmla="*/ 0 w 1456768"/>
            <a:gd name="connsiteY3" fmla="*/ 668437 h 668437"/>
            <a:gd name="connsiteX4" fmla="*/ 0 w 1456768"/>
            <a:gd name="connsiteY4" fmla="*/ 9213 h 668437"/>
            <a:gd name="connsiteX0" fmla="*/ 0 w 1400462"/>
            <a:gd name="connsiteY0" fmla="*/ 16113 h 675337"/>
            <a:gd name="connsiteX1" fmla="*/ 1240892 w 1400462"/>
            <a:gd name="connsiteY1" fmla="*/ 0 h 675337"/>
            <a:gd name="connsiteX2" fmla="*/ 1400462 w 1400462"/>
            <a:gd name="connsiteY2" fmla="*/ 641601 h 675337"/>
            <a:gd name="connsiteX3" fmla="*/ 0 w 1400462"/>
            <a:gd name="connsiteY3" fmla="*/ 675337 h 675337"/>
            <a:gd name="connsiteX4" fmla="*/ 0 w 1400462"/>
            <a:gd name="connsiteY4" fmla="*/ 16113 h 675337"/>
            <a:gd name="connsiteX0" fmla="*/ 0 w 1299775"/>
            <a:gd name="connsiteY0" fmla="*/ 16113 h 675337"/>
            <a:gd name="connsiteX1" fmla="*/ 1240892 w 1299775"/>
            <a:gd name="connsiteY1" fmla="*/ 0 h 675337"/>
            <a:gd name="connsiteX2" fmla="*/ 1277503 w 1299775"/>
            <a:gd name="connsiteY2" fmla="*/ 655401 h 675337"/>
            <a:gd name="connsiteX3" fmla="*/ 0 w 1299775"/>
            <a:gd name="connsiteY3" fmla="*/ 675337 h 675337"/>
            <a:gd name="connsiteX4" fmla="*/ 0 w 1299775"/>
            <a:gd name="connsiteY4" fmla="*/ 16113 h 6753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299775" h="675337">
              <a:moveTo>
                <a:pt x="0" y="16113"/>
              </a:moveTo>
              <a:lnTo>
                <a:pt x="1240892" y="0"/>
              </a:lnTo>
              <a:cubicBezTo>
                <a:pt x="1377417" y="229266"/>
                <a:pt x="1226703" y="445185"/>
                <a:pt x="1277503" y="655401"/>
              </a:cubicBezTo>
              <a:lnTo>
                <a:pt x="0" y="675337"/>
              </a:lnTo>
              <a:lnTo>
                <a:pt x="0" y="16113"/>
              </a:ln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162155</xdr:colOff>
      <xdr:row>18</xdr:row>
      <xdr:rowOff>25774</xdr:rowOff>
    </xdr:from>
    <xdr:to>
      <xdr:col>5</xdr:col>
      <xdr:colOff>132842</xdr:colOff>
      <xdr:row>21</xdr:row>
      <xdr:rowOff>59267</xdr:rowOff>
    </xdr:to>
    <xdr:sp macro="" textlink="">
      <xdr:nvSpPr>
        <xdr:cNvPr id="8" name="Section_1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49682" y="3275278"/>
          <a:ext cx="1267050" cy="575077"/>
        </a:xfrm>
        <a:custGeom>
          <a:avLst/>
          <a:gdLst>
            <a:gd name="connsiteX0" fmla="*/ 0 w 1554104"/>
            <a:gd name="connsiteY0" fmla="*/ 0 h 659223"/>
            <a:gd name="connsiteX1" fmla="*/ 1554104 w 1554104"/>
            <a:gd name="connsiteY1" fmla="*/ 0 h 659223"/>
            <a:gd name="connsiteX2" fmla="*/ 1554104 w 1554104"/>
            <a:gd name="connsiteY2" fmla="*/ 659223 h 659223"/>
            <a:gd name="connsiteX3" fmla="*/ 0 w 1554104"/>
            <a:gd name="connsiteY3" fmla="*/ 659223 h 659223"/>
            <a:gd name="connsiteX4" fmla="*/ 0 w 1554104"/>
            <a:gd name="connsiteY4" fmla="*/ 0 h 659223"/>
            <a:gd name="connsiteX0" fmla="*/ 0 w 1568392"/>
            <a:gd name="connsiteY0" fmla="*/ 85725 h 659223"/>
            <a:gd name="connsiteX1" fmla="*/ 1568392 w 1568392"/>
            <a:gd name="connsiteY1" fmla="*/ 0 h 659223"/>
            <a:gd name="connsiteX2" fmla="*/ 1568392 w 1568392"/>
            <a:gd name="connsiteY2" fmla="*/ 659223 h 659223"/>
            <a:gd name="connsiteX3" fmla="*/ 14288 w 1568392"/>
            <a:gd name="connsiteY3" fmla="*/ 659223 h 659223"/>
            <a:gd name="connsiteX4" fmla="*/ 0 w 1568392"/>
            <a:gd name="connsiteY4" fmla="*/ 85725 h 659223"/>
            <a:gd name="connsiteX0" fmla="*/ 0 w 1568392"/>
            <a:gd name="connsiteY0" fmla="*/ 0 h 573498"/>
            <a:gd name="connsiteX1" fmla="*/ 911167 w 1568392"/>
            <a:gd name="connsiteY1" fmla="*/ 1762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11167 w 1568392"/>
            <a:gd name="connsiteY1" fmla="*/ 1762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11167 w 1568392"/>
            <a:gd name="connsiteY1" fmla="*/ 1762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44505 w 1568392"/>
            <a:gd name="connsiteY1" fmla="*/ 1381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44505 w 1568392"/>
            <a:gd name="connsiteY1" fmla="*/ 1381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44505 w 1568392"/>
            <a:gd name="connsiteY1" fmla="*/ 1381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425517"/>
            <a:gd name="connsiteY0" fmla="*/ 0 h 573498"/>
            <a:gd name="connsiteX1" fmla="*/ 944505 w 1425517"/>
            <a:gd name="connsiteY1" fmla="*/ 138113 h 573498"/>
            <a:gd name="connsiteX2" fmla="*/ 1425517 w 1425517"/>
            <a:gd name="connsiteY2" fmla="*/ 568736 h 573498"/>
            <a:gd name="connsiteX3" fmla="*/ 14288 w 1425517"/>
            <a:gd name="connsiteY3" fmla="*/ 573498 h 573498"/>
            <a:gd name="connsiteX4" fmla="*/ 0 w 1425517"/>
            <a:gd name="connsiteY4" fmla="*/ 0 h 573498"/>
            <a:gd name="connsiteX0" fmla="*/ 0 w 1425517"/>
            <a:gd name="connsiteY0" fmla="*/ 0 h 573498"/>
            <a:gd name="connsiteX1" fmla="*/ 944505 w 1425517"/>
            <a:gd name="connsiteY1" fmla="*/ 138113 h 573498"/>
            <a:gd name="connsiteX2" fmla="*/ 1425517 w 1425517"/>
            <a:gd name="connsiteY2" fmla="*/ 568736 h 573498"/>
            <a:gd name="connsiteX3" fmla="*/ 14288 w 1425517"/>
            <a:gd name="connsiteY3" fmla="*/ 573498 h 573498"/>
            <a:gd name="connsiteX4" fmla="*/ 0 w 1425517"/>
            <a:gd name="connsiteY4" fmla="*/ 0 h 573498"/>
            <a:gd name="connsiteX0" fmla="*/ 0 w 1425517"/>
            <a:gd name="connsiteY0" fmla="*/ 0 h 587785"/>
            <a:gd name="connsiteX1" fmla="*/ 944505 w 1425517"/>
            <a:gd name="connsiteY1" fmla="*/ 138113 h 587785"/>
            <a:gd name="connsiteX2" fmla="*/ 1425517 w 1425517"/>
            <a:gd name="connsiteY2" fmla="*/ 568736 h 587785"/>
            <a:gd name="connsiteX3" fmla="*/ 1192 w 1425517"/>
            <a:gd name="connsiteY3" fmla="*/ 587785 h 587785"/>
            <a:gd name="connsiteX4" fmla="*/ 0 w 1425517"/>
            <a:gd name="connsiteY4" fmla="*/ 0 h 587785"/>
            <a:gd name="connsiteX0" fmla="*/ 5753 w 1424343"/>
            <a:gd name="connsiteY0" fmla="*/ 68785 h 511737"/>
            <a:gd name="connsiteX1" fmla="*/ 943331 w 1424343"/>
            <a:gd name="connsiteY1" fmla="*/ 62065 h 511737"/>
            <a:gd name="connsiteX2" fmla="*/ 1424343 w 1424343"/>
            <a:gd name="connsiteY2" fmla="*/ 492688 h 511737"/>
            <a:gd name="connsiteX3" fmla="*/ 18 w 1424343"/>
            <a:gd name="connsiteY3" fmla="*/ 511737 h 511737"/>
            <a:gd name="connsiteX4" fmla="*/ 5753 w 1424343"/>
            <a:gd name="connsiteY4" fmla="*/ 68785 h 511737"/>
            <a:gd name="connsiteX0" fmla="*/ 5753 w 1424343"/>
            <a:gd name="connsiteY0" fmla="*/ 0 h 442952"/>
            <a:gd name="connsiteX1" fmla="*/ 860204 w 1424343"/>
            <a:gd name="connsiteY1" fmla="*/ 117422 h 442952"/>
            <a:gd name="connsiteX2" fmla="*/ 1424343 w 1424343"/>
            <a:gd name="connsiteY2" fmla="*/ 423903 h 442952"/>
            <a:gd name="connsiteX3" fmla="*/ 18 w 1424343"/>
            <a:gd name="connsiteY3" fmla="*/ 442952 h 442952"/>
            <a:gd name="connsiteX4" fmla="*/ 5753 w 1424343"/>
            <a:gd name="connsiteY4" fmla="*/ 0 h 442952"/>
            <a:gd name="connsiteX0" fmla="*/ 5753 w 1258089"/>
            <a:gd name="connsiteY0" fmla="*/ 0 h 442952"/>
            <a:gd name="connsiteX1" fmla="*/ 860204 w 1258089"/>
            <a:gd name="connsiteY1" fmla="*/ 117422 h 442952"/>
            <a:gd name="connsiteX2" fmla="*/ 1258089 w 1258089"/>
            <a:gd name="connsiteY2" fmla="*/ 422180 h 442952"/>
            <a:gd name="connsiteX3" fmla="*/ 18 w 1258089"/>
            <a:gd name="connsiteY3" fmla="*/ 442952 h 442952"/>
            <a:gd name="connsiteX4" fmla="*/ 5753 w 1258089"/>
            <a:gd name="connsiteY4" fmla="*/ 0 h 442952"/>
            <a:gd name="connsiteX0" fmla="*/ 0 w 1266081"/>
            <a:gd name="connsiteY0" fmla="*/ 0 h 577660"/>
            <a:gd name="connsiteX1" fmla="*/ 868196 w 1266081"/>
            <a:gd name="connsiteY1" fmla="*/ 252130 h 577660"/>
            <a:gd name="connsiteX2" fmla="*/ 1266081 w 1266081"/>
            <a:gd name="connsiteY2" fmla="*/ 556888 h 577660"/>
            <a:gd name="connsiteX3" fmla="*/ 8010 w 1266081"/>
            <a:gd name="connsiteY3" fmla="*/ 577660 h 577660"/>
            <a:gd name="connsiteX4" fmla="*/ 0 w 1266081"/>
            <a:gd name="connsiteY4" fmla="*/ 0 h 577660"/>
            <a:gd name="connsiteX0" fmla="*/ 0 w 1266081"/>
            <a:gd name="connsiteY0" fmla="*/ 0 h 577660"/>
            <a:gd name="connsiteX1" fmla="*/ 730757 w 1266081"/>
            <a:gd name="connsiteY1" fmla="*/ 164052 h 577660"/>
            <a:gd name="connsiteX2" fmla="*/ 1266081 w 1266081"/>
            <a:gd name="connsiteY2" fmla="*/ 556888 h 577660"/>
            <a:gd name="connsiteX3" fmla="*/ 8010 w 1266081"/>
            <a:gd name="connsiteY3" fmla="*/ 577660 h 577660"/>
            <a:gd name="connsiteX4" fmla="*/ 0 w 1266081"/>
            <a:gd name="connsiteY4" fmla="*/ 0 h 5776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266081" h="577660">
              <a:moveTo>
                <a:pt x="0" y="0"/>
              </a:moveTo>
              <a:cubicBezTo>
                <a:pt x="303722" y="58738"/>
                <a:pt x="388935" y="-4223"/>
                <a:pt x="730757" y="164052"/>
              </a:cubicBezTo>
              <a:cubicBezTo>
                <a:pt x="1221295" y="301243"/>
                <a:pt x="1232744" y="329210"/>
                <a:pt x="1266081" y="556888"/>
              </a:cubicBezTo>
              <a:lnTo>
                <a:pt x="8010" y="577660"/>
              </a:lnTo>
              <a:cubicBezTo>
                <a:pt x="7613" y="381732"/>
                <a:pt x="397" y="195928"/>
                <a:pt x="0" y="0"/>
              </a:cubicBezTo>
              <a:close/>
            </a:path>
          </a:pathLst>
        </a:custGeom>
        <a:solidFill>
          <a:srgbClr val="1F9E8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160261</xdr:colOff>
      <xdr:row>25</xdr:row>
      <xdr:rowOff>55316</xdr:rowOff>
    </xdr:from>
    <xdr:to>
      <xdr:col>5</xdr:col>
      <xdr:colOff>158232</xdr:colOff>
      <xdr:row>29</xdr:row>
      <xdr:rowOff>80460</xdr:rowOff>
    </xdr:to>
    <xdr:sp macro="" textlink="">
      <xdr:nvSpPr>
        <xdr:cNvPr id="9" name="Section_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46224" y="4579691"/>
          <a:ext cx="1293371" cy="749044"/>
        </a:xfrm>
        <a:custGeom>
          <a:avLst/>
          <a:gdLst>
            <a:gd name="connsiteX0" fmla="*/ 0 w 1554104"/>
            <a:gd name="connsiteY0" fmla="*/ 0 h 660516"/>
            <a:gd name="connsiteX1" fmla="*/ 1554104 w 1554104"/>
            <a:gd name="connsiteY1" fmla="*/ 0 h 660516"/>
            <a:gd name="connsiteX2" fmla="*/ 1554104 w 1554104"/>
            <a:gd name="connsiteY2" fmla="*/ 660516 h 660516"/>
            <a:gd name="connsiteX3" fmla="*/ 0 w 1554104"/>
            <a:gd name="connsiteY3" fmla="*/ 660516 h 660516"/>
            <a:gd name="connsiteX4" fmla="*/ 0 w 1554104"/>
            <a:gd name="connsiteY4" fmla="*/ 0 h 660516"/>
            <a:gd name="connsiteX0" fmla="*/ 0 w 1554104"/>
            <a:gd name="connsiteY0" fmla="*/ 0 h 660516"/>
            <a:gd name="connsiteX1" fmla="*/ 1411229 w 1554104"/>
            <a:gd name="connsiteY1" fmla="*/ 14287 h 660516"/>
            <a:gd name="connsiteX2" fmla="*/ 1554104 w 1554104"/>
            <a:gd name="connsiteY2" fmla="*/ 660516 h 660516"/>
            <a:gd name="connsiteX3" fmla="*/ 0 w 1554104"/>
            <a:gd name="connsiteY3" fmla="*/ 660516 h 660516"/>
            <a:gd name="connsiteX4" fmla="*/ 0 w 1554104"/>
            <a:gd name="connsiteY4" fmla="*/ 0 h 660516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673041 w 1411229"/>
            <a:gd name="connsiteY2" fmla="*/ 670041 h 670041"/>
            <a:gd name="connsiteX3" fmla="*/ 0 w 1411229"/>
            <a:gd name="connsiteY3" fmla="*/ 660516 h 670041"/>
            <a:gd name="connsiteX4" fmla="*/ 0 w 1411229"/>
            <a:gd name="connsiteY4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673041 w 1411229"/>
            <a:gd name="connsiteY2" fmla="*/ 670041 h 670041"/>
            <a:gd name="connsiteX3" fmla="*/ 0 w 1411229"/>
            <a:gd name="connsiteY3" fmla="*/ 550978 h 670041"/>
            <a:gd name="connsiteX4" fmla="*/ 0 w 1411229"/>
            <a:gd name="connsiteY4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673041 w 1411229"/>
            <a:gd name="connsiteY2" fmla="*/ 670041 h 670041"/>
            <a:gd name="connsiteX3" fmla="*/ 0 w 1411229"/>
            <a:gd name="connsiteY3" fmla="*/ 550978 h 670041"/>
            <a:gd name="connsiteX4" fmla="*/ 0 w 1411229"/>
            <a:gd name="connsiteY4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1140708 w 1411229"/>
            <a:gd name="connsiteY2" fmla="*/ 346369 h 670041"/>
            <a:gd name="connsiteX3" fmla="*/ 673041 w 1411229"/>
            <a:gd name="connsiteY3" fmla="*/ 670041 h 670041"/>
            <a:gd name="connsiteX4" fmla="*/ 0 w 1411229"/>
            <a:gd name="connsiteY4" fmla="*/ 550978 h 670041"/>
            <a:gd name="connsiteX5" fmla="*/ 0 w 1411229"/>
            <a:gd name="connsiteY5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1140708 w 1411229"/>
            <a:gd name="connsiteY2" fmla="*/ 346369 h 670041"/>
            <a:gd name="connsiteX3" fmla="*/ 673041 w 1411229"/>
            <a:gd name="connsiteY3" fmla="*/ 670041 h 670041"/>
            <a:gd name="connsiteX4" fmla="*/ 0 w 1411229"/>
            <a:gd name="connsiteY4" fmla="*/ 550978 h 670041"/>
            <a:gd name="connsiteX5" fmla="*/ 0 w 1411229"/>
            <a:gd name="connsiteY5" fmla="*/ 0 h 670041"/>
            <a:gd name="connsiteX0" fmla="*/ 0 w 1396941"/>
            <a:gd name="connsiteY0" fmla="*/ 19050 h 689091"/>
            <a:gd name="connsiteX1" fmla="*/ 1396941 w 1396941"/>
            <a:gd name="connsiteY1" fmla="*/ 0 h 689091"/>
            <a:gd name="connsiteX2" fmla="*/ 1140708 w 1396941"/>
            <a:gd name="connsiteY2" fmla="*/ 365419 h 689091"/>
            <a:gd name="connsiteX3" fmla="*/ 673041 w 1396941"/>
            <a:gd name="connsiteY3" fmla="*/ 689091 h 689091"/>
            <a:gd name="connsiteX4" fmla="*/ 0 w 1396941"/>
            <a:gd name="connsiteY4" fmla="*/ 570028 h 689091"/>
            <a:gd name="connsiteX5" fmla="*/ 0 w 1396941"/>
            <a:gd name="connsiteY5" fmla="*/ 19050 h 689091"/>
            <a:gd name="connsiteX0" fmla="*/ 0 w 1396941"/>
            <a:gd name="connsiteY0" fmla="*/ 19050 h 581857"/>
            <a:gd name="connsiteX1" fmla="*/ 1396941 w 1396941"/>
            <a:gd name="connsiteY1" fmla="*/ 0 h 581857"/>
            <a:gd name="connsiteX2" fmla="*/ 1140708 w 1396941"/>
            <a:gd name="connsiteY2" fmla="*/ 365419 h 581857"/>
            <a:gd name="connsiteX3" fmla="*/ 0 w 1396941"/>
            <a:gd name="connsiteY3" fmla="*/ 570028 h 581857"/>
            <a:gd name="connsiteX4" fmla="*/ 0 w 1396941"/>
            <a:gd name="connsiteY4" fmla="*/ 19050 h 581857"/>
            <a:gd name="connsiteX0" fmla="*/ 0 w 1396941"/>
            <a:gd name="connsiteY0" fmla="*/ 19050 h 676654"/>
            <a:gd name="connsiteX1" fmla="*/ 1396941 w 1396941"/>
            <a:gd name="connsiteY1" fmla="*/ 0 h 676654"/>
            <a:gd name="connsiteX2" fmla="*/ 1140708 w 1396941"/>
            <a:gd name="connsiteY2" fmla="*/ 365419 h 676654"/>
            <a:gd name="connsiteX3" fmla="*/ 588258 w 1396941"/>
            <a:gd name="connsiteY3" fmla="*/ 665457 h 676654"/>
            <a:gd name="connsiteX4" fmla="*/ 0 w 1396941"/>
            <a:gd name="connsiteY4" fmla="*/ 570028 h 676654"/>
            <a:gd name="connsiteX5" fmla="*/ 0 w 1396941"/>
            <a:gd name="connsiteY5" fmla="*/ 19050 h 676654"/>
            <a:gd name="connsiteX0" fmla="*/ 0 w 1399663"/>
            <a:gd name="connsiteY0" fmla="*/ 46101 h 703705"/>
            <a:gd name="connsiteX1" fmla="*/ 1399663 w 1399663"/>
            <a:gd name="connsiteY1" fmla="*/ 0 h 703705"/>
            <a:gd name="connsiteX2" fmla="*/ 1140708 w 1399663"/>
            <a:gd name="connsiteY2" fmla="*/ 392470 h 703705"/>
            <a:gd name="connsiteX3" fmla="*/ 588258 w 1399663"/>
            <a:gd name="connsiteY3" fmla="*/ 692508 h 703705"/>
            <a:gd name="connsiteX4" fmla="*/ 0 w 1399663"/>
            <a:gd name="connsiteY4" fmla="*/ 597079 h 703705"/>
            <a:gd name="connsiteX5" fmla="*/ 0 w 1399663"/>
            <a:gd name="connsiteY5" fmla="*/ 46101 h 703705"/>
            <a:gd name="connsiteX0" fmla="*/ 0 w 1405106"/>
            <a:gd name="connsiteY0" fmla="*/ 16344 h 703705"/>
            <a:gd name="connsiteX1" fmla="*/ 1405106 w 1405106"/>
            <a:gd name="connsiteY1" fmla="*/ 0 h 703705"/>
            <a:gd name="connsiteX2" fmla="*/ 1146151 w 1405106"/>
            <a:gd name="connsiteY2" fmla="*/ 392470 h 703705"/>
            <a:gd name="connsiteX3" fmla="*/ 593701 w 1405106"/>
            <a:gd name="connsiteY3" fmla="*/ 692508 h 703705"/>
            <a:gd name="connsiteX4" fmla="*/ 5443 w 1405106"/>
            <a:gd name="connsiteY4" fmla="*/ 597079 h 703705"/>
            <a:gd name="connsiteX5" fmla="*/ 0 w 1405106"/>
            <a:gd name="connsiteY5" fmla="*/ 16344 h 703705"/>
            <a:gd name="connsiteX0" fmla="*/ 0 w 1406520"/>
            <a:gd name="connsiteY0" fmla="*/ 31891 h 719252"/>
            <a:gd name="connsiteX1" fmla="*/ 1406520 w 1406520"/>
            <a:gd name="connsiteY1" fmla="*/ 0 h 719252"/>
            <a:gd name="connsiteX2" fmla="*/ 1146151 w 1406520"/>
            <a:gd name="connsiteY2" fmla="*/ 408017 h 719252"/>
            <a:gd name="connsiteX3" fmla="*/ 593701 w 1406520"/>
            <a:gd name="connsiteY3" fmla="*/ 708055 h 719252"/>
            <a:gd name="connsiteX4" fmla="*/ 5443 w 1406520"/>
            <a:gd name="connsiteY4" fmla="*/ 612626 h 719252"/>
            <a:gd name="connsiteX5" fmla="*/ 0 w 1406520"/>
            <a:gd name="connsiteY5" fmla="*/ 31891 h 719252"/>
            <a:gd name="connsiteX0" fmla="*/ 8305 w 1414825"/>
            <a:gd name="connsiteY0" fmla="*/ 31891 h 739433"/>
            <a:gd name="connsiteX1" fmla="*/ 1414825 w 1414825"/>
            <a:gd name="connsiteY1" fmla="*/ 0 h 739433"/>
            <a:gd name="connsiteX2" fmla="*/ 1154456 w 1414825"/>
            <a:gd name="connsiteY2" fmla="*/ 408017 h 739433"/>
            <a:gd name="connsiteX3" fmla="*/ 602006 w 1414825"/>
            <a:gd name="connsiteY3" fmla="*/ 708055 h 739433"/>
            <a:gd name="connsiteX4" fmla="*/ 191 w 1414825"/>
            <a:gd name="connsiteY4" fmla="*/ 683484 h 739433"/>
            <a:gd name="connsiteX5" fmla="*/ 8305 w 1414825"/>
            <a:gd name="connsiteY5" fmla="*/ 31891 h 739433"/>
            <a:gd name="connsiteX0" fmla="*/ 8305 w 1414825"/>
            <a:gd name="connsiteY0" fmla="*/ 31891 h 712505"/>
            <a:gd name="connsiteX1" fmla="*/ 1414825 w 1414825"/>
            <a:gd name="connsiteY1" fmla="*/ 0 h 712505"/>
            <a:gd name="connsiteX2" fmla="*/ 1154456 w 1414825"/>
            <a:gd name="connsiteY2" fmla="*/ 408017 h 712505"/>
            <a:gd name="connsiteX3" fmla="*/ 602006 w 1414825"/>
            <a:gd name="connsiteY3" fmla="*/ 708055 h 712505"/>
            <a:gd name="connsiteX4" fmla="*/ 191 w 1414825"/>
            <a:gd name="connsiteY4" fmla="*/ 683484 h 712505"/>
            <a:gd name="connsiteX5" fmla="*/ 8305 w 1414825"/>
            <a:gd name="connsiteY5" fmla="*/ 31891 h 712505"/>
            <a:gd name="connsiteX0" fmla="*/ 8305 w 1389813"/>
            <a:gd name="connsiteY0" fmla="*/ 35823 h 716437"/>
            <a:gd name="connsiteX1" fmla="*/ 1389813 w 1389813"/>
            <a:gd name="connsiteY1" fmla="*/ 0 h 716437"/>
            <a:gd name="connsiteX2" fmla="*/ 1154456 w 1389813"/>
            <a:gd name="connsiteY2" fmla="*/ 411949 h 716437"/>
            <a:gd name="connsiteX3" fmla="*/ 602006 w 1389813"/>
            <a:gd name="connsiteY3" fmla="*/ 711987 h 716437"/>
            <a:gd name="connsiteX4" fmla="*/ 191 w 1389813"/>
            <a:gd name="connsiteY4" fmla="*/ 687416 h 716437"/>
            <a:gd name="connsiteX5" fmla="*/ 8305 w 1389813"/>
            <a:gd name="connsiteY5" fmla="*/ 35823 h 716437"/>
            <a:gd name="connsiteX0" fmla="*/ 8305 w 1389813"/>
            <a:gd name="connsiteY0" fmla="*/ 35823 h 716437"/>
            <a:gd name="connsiteX1" fmla="*/ 1389813 w 1389813"/>
            <a:gd name="connsiteY1" fmla="*/ 0 h 716437"/>
            <a:gd name="connsiteX2" fmla="*/ 1154456 w 1389813"/>
            <a:gd name="connsiteY2" fmla="*/ 411949 h 716437"/>
            <a:gd name="connsiteX3" fmla="*/ 602006 w 1389813"/>
            <a:gd name="connsiteY3" fmla="*/ 711987 h 716437"/>
            <a:gd name="connsiteX4" fmla="*/ 191 w 1389813"/>
            <a:gd name="connsiteY4" fmla="*/ 687416 h 716437"/>
            <a:gd name="connsiteX5" fmla="*/ 8305 w 1389813"/>
            <a:gd name="connsiteY5" fmla="*/ 35823 h 716437"/>
            <a:gd name="connsiteX0" fmla="*/ 8305 w 1402977"/>
            <a:gd name="connsiteY0" fmla="*/ 39756 h 720370"/>
            <a:gd name="connsiteX1" fmla="*/ 1402977 w 1402977"/>
            <a:gd name="connsiteY1" fmla="*/ 0 h 720370"/>
            <a:gd name="connsiteX2" fmla="*/ 1154456 w 1402977"/>
            <a:gd name="connsiteY2" fmla="*/ 415882 h 720370"/>
            <a:gd name="connsiteX3" fmla="*/ 602006 w 1402977"/>
            <a:gd name="connsiteY3" fmla="*/ 715920 h 720370"/>
            <a:gd name="connsiteX4" fmla="*/ 191 w 1402977"/>
            <a:gd name="connsiteY4" fmla="*/ 691349 h 720370"/>
            <a:gd name="connsiteX5" fmla="*/ 8305 w 1402977"/>
            <a:gd name="connsiteY5" fmla="*/ 39756 h 720370"/>
            <a:gd name="connsiteX0" fmla="*/ 8305 w 1292142"/>
            <a:gd name="connsiteY0" fmla="*/ 32864 h 713478"/>
            <a:gd name="connsiteX1" fmla="*/ 1292142 w 1292142"/>
            <a:gd name="connsiteY1" fmla="*/ 0 h 713478"/>
            <a:gd name="connsiteX2" fmla="*/ 1154456 w 1292142"/>
            <a:gd name="connsiteY2" fmla="*/ 408990 h 713478"/>
            <a:gd name="connsiteX3" fmla="*/ 602006 w 1292142"/>
            <a:gd name="connsiteY3" fmla="*/ 709028 h 713478"/>
            <a:gd name="connsiteX4" fmla="*/ 191 w 1292142"/>
            <a:gd name="connsiteY4" fmla="*/ 684457 h 713478"/>
            <a:gd name="connsiteX5" fmla="*/ 8305 w 1292142"/>
            <a:gd name="connsiteY5" fmla="*/ 32864 h 713478"/>
            <a:gd name="connsiteX0" fmla="*/ 11836 w 1292101"/>
            <a:gd name="connsiteY0" fmla="*/ 9048 h 713478"/>
            <a:gd name="connsiteX1" fmla="*/ 1292101 w 1292101"/>
            <a:gd name="connsiteY1" fmla="*/ 0 h 713478"/>
            <a:gd name="connsiteX2" fmla="*/ 1154415 w 1292101"/>
            <a:gd name="connsiteY2" fmla="*/ 408990 h 713478"/>
            <a:gd name="connsiteX3" fmla="*/ 601965 w 1292101"/>
            <a:gd name="connsiteY3" fmla="*/ 709028 h 713478"/>
            <a:gd name="connsiteX4" fmla="*/ 150 w 1292101"/>
            <a:gd name="connsiteY4" fmla="*/ 684457 h 713478"/>
            <a:gd name="connsiteX5" fmla="*/ 11836 w 1292101"/>
            <a:gd name="connsiteY5" fmla="*/ 9048 h 713478"/>
            <a:gd name="connsiteX0" fmla="*/ 0 w 1293362"/>
            <a:gd name="connsiteY0" fmla="*/ 12450 h 713478"/>
            <a:gd name="connsiteX1" fmla="*/ 1293362 w 1293362"/>
            <a:gd name="connsiteY1" fmla="*/ 0 h 713478"/>
            <a:gd name="connsiteX2" fmla="*/ 1155676 w 1293362"/>
            <a:gd name="connsiteY2" fmla="*/ 408990 h 713478"/>
            <a:gd name="connsiteX3" fmla="*/ 603226 w 1293362"/>
            <a:gd name="connsiteY3" fmla="*/ 709028 h 713478"/>
            <a:gd name="connsiteX4" fmla="*/ 1411 w 1293362"/>
            <a:gd name="connsiteY4" fmla="*/ 684457 h 713478"/>
            <a:gd name="connsiteX5" fmla="*/ 0 w 1293362"/>
            <a:gd name="connsiteY5" fmla="*/ 12450 h 7134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293362" h="713478">
              <a:moveTo>
                <a:pt x="0" y="12450"/>
              </a:moveTo>
              <a:lnTo>
                <a:pt x="1293362" y="0"/>
              </a:lnTo>
              <a:cubicBezTo>
                <a:pt x="1243801" y="62468"/>
                <a:pt x="1285537" y="296708"/>
                <a:pt x="1155676" y="408990"/>
              </a:cubicBezTo>
              <a:cubicBezTo>
                <a:pt x="1025658" y="494499"/>
                <a:pt x="793344" y="674926"/>
                <a:pt x="603226" y="709028"/>
              </a:cubicBezTo>
              <a:cubicBezTo>
                <a:pt x="413108" y="743130"/>
                <a:pt x="62039" y="566278"/>
                <a:pt x="1411" y="684457"/>
              </a:cubicBezTo>
              <a:cubicBezTo>
                <a:pt x="-403" y="490879"/>
                <a:pt x="1814" y="206028"/>
                <a:pt x="0" y="1245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544583</xdr:colOff>
      <xdr:row>25</xdr:row>
      <xdr:rowOff>68037</xdr:rowOff>
    </xdr:from>
    <xdr:to>
      <xdr:col>2</xdr:col>
      <xdr:colOff>71504</xdr:colOff>
      <xdr:row>29</xdr:row>
      <xdr:rowOff>53551</xdr:rowOff>
    </xdr:to>
    <xdr:sp macro="" textlink="">
      <xdr:nvSpPr>
        <xdr:cNvPr id="10" name="Section_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44583" y="4583134"/>
          <a:ext cx="823311" cy="707930"/>
        </a:xfrm>
        <a:custGeom>
          <a:avLst/>
          <a:gdLst>
            <a:gd name="connsiteX0" fmla="*/ 0 w 767677"/>
            <a:gd name="connsiteY0" fmla="*/ 0 h 660099"/>
            <a:gd name="connsiteX1" fmla="*/ 767677 w 767677"/>
            <a:gd name="connsiteY1" fmla="*/ 0 h 660099"/>
            <a:gd name="connsiteX2" fmla="*/ 767677 w 767677"/>
            <a:gd name="connsiteY2" fmla="*/ 660099 h 660099"/>
            <a:gd name="connsiteX3" fmla="*/ 0 w 767677"/>
            <a:gd name="connsiteY3" fmla="*/ 660099 h 660099"/>
            <a:gd name="connsiteX4" fmla="*/ 0 w 767677"/>
            <a:gd name="connsiteY4" fmla="*/ 0 h 660099"/>
            <a:gd name="connsiteX0" fmla="*/ 25697 w 793374"/>
            <a:gd name="connsiteY0" fmla="*/ 0 h 660099"/>
            <a:gd name="connsiteX1" fmla="*/ 793374 w 793374"/>
            <a:gd name="connsiteY1" fmla="*/ 0 h 660099"/>
            <a:gd name="connsiteX2" fmla="*/ 793374 w 793374"/>
            <a:gd name="connsiteY2" fmla="*/ 660099 h 660099"/>
            <a:gd name="connsiteX3" fmla="*/ 25697 w 793374"/>
            <a:gd name="connsiteY3" fmla="*/ 660099 h 660099"/>
            <a:gd name="connsiteX4" fmla="*/ 25697 w 793374"/>
            <a:gd name="connsiteY4" fmla="*/ 0 h 660099"/>
            <a:gd name="connsiteX0" fmla="*/ 38713 w 806390"/>
            <a:gd name="connsiteY0" fmla="*/ 0 h 660099"/>
            <a:gd name="connsiteX1" fmla="*/ 806390 w 806390"/>
            <a:gd name="connsiteY1" fmla="*/ 0 h 660099"/>
            <a:gd name="connsiteX2" fmla="*/ 806390 w 806390"/>
            <a:gd name="connsiteY2" fmla="*/ 660099 h 660099"/>
            <a:gd name="connsiteX3" fmla="*/ 21976 w 806390"/>
            <a:gd name="connsiteY3" fmla="*/ 660099 h 660099"/>
            <a:gd name="connsiteX4" fmla="*/ 38713 w 806390"/>
            <a:gd name="connsiteY4" fmla="*/ 0 h 6600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06390" h="660099">
              <a:moveTo>
                <a:pt x="38713" y="0"/>
              </a:moveTo>
              <a:lnTo>
                <a:pt x="806390" y="0"/>
              </a:lnTo>
              <a:lnTo>
                <a:pt x="806390" y="660099"/>
              </a:lnTo>
              <a:lnTo>
                <a:pt x="21976" y="660099"/>
              </a:lnTo>
              <a:cubicBezTo>
                <a:pt x="-35844" y="242263"/>
                <a:pt x="38713" y="220033"/>
                <a:pt x="38713" y="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68405</xdr:colOff>
      <xdr:row>25</xdr:row>
      <xdr:rowOff>75552</xdr:rowOff>
    </xdr:from>
    <xdr:to>
      <xdr:col>3</xdr:col>
      <xdr:colOff>160546</xdr:colOff>
      <xdr:row>29</xdr:row>
      <xdr:rowOff>49413</xdr:rowOff>
    </xdr:to>
    <xdr:sp macro="" textlink="">
      <xdr:nvSpPr>
        <xdr:cNvPr id="11" name="Section_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63589" y="4595205"/>
          <a:ext cx="782906" cy="697005"/>
        </a:xfrm>
        <a:prstGeom prst="rect">
          <a:avLst/>
        </a:pr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550572</xdr:colOff>
      <xdr:row>29</xdr:row>
      <xdr:rowOff>44848</xdr:rowOff>
    </xdr:from>
    <xdr:to>
      <xdr:col>2</xdr:col>
      <xdr:colOff>64452</xdr:colOff>
      <xdr:row>33</xdr:row>
      <xdr:rowOff>65036</xdr:rowOff>
    </xdr:to>
    <xdr:sp macro="" textlink="">
      <xdr:nvSpPr>
        <xdr:cNvPr id="12" name="Section_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50572" y="5309226"/>
          <a:ext cx="808084" cy="746309"/>
        </a:xfrm>
        <a:custGeom>
          <a:avLst/>
          <a:gdLst>
            <a:gd name="connsiteX0" fmla="*/ 0 w 777781"/>
            <a:gd name="connsiteY0" fmla="*/ 0 h 650905"/>
            <a:gd name="connsiteX1" fmla="*/ 777781 w 777781"/>
            <a:gd name="connsiteY1" fmla="*/ 0 h 650905"/>
            <a:gd name="connsiteX2" fmla="*/ 777781 w 777781"/>
            <a:gd name="connsiteY2" fmla="*/ 650905 h 650905"/>
            <a:gd name="connsiteX3" fmla="*/ 0 w 777781"/>
            <a:gd name="connsiteY3" fmla="*/ 650905 h 650905"/>
            <a:gd name="connsiteX4" fmla="*/ 0 w 777781"/>
            <a:gd name="connsiteY4" fmla="*/ 0 h 650905"/>
            <a:gd name="connsiteX0" fmla="*/ 2995 w 780776"/>
            <a:gd name="connsiteY0" fmla="*/ 0 h 652403"/>
            <a:gd name="connsiteX1" fmla="*/ 780776 w 780776"/>
            <a:gd name="connsiteY1" fmla="*/ 0 h 652403"/>
            <a:gd name="connsiteX2" fmla="*/ 780776 w 780776"/>
            <a:gd name="connsiteY2" fmla="*/ 650905 h 652403"/>
            <a:gd name="connsiteX3" fmla="*/ 0 w 780776"/>
            <a:gd name="connsiteY3" fmla="*/ 652403 h 652403"/>
            <a:gd name="connsiteX4" fmla="*/ 2995 w 780776"/>
            <a:gd name="connsiteY4" fmla="*/ 0 h 652403"/>
            <a:gd name="connsiteX0" fmla="*/ 2995 w 780776"/>
            <a:gd name="connsiteY0" fmla="*/ 0 h 652403"/>
            <a:gd name="connsiteX1" fmla="*/ 780776 w 780776"/>
            <a:gd name="connsiteY1" fmla="*/ 0 h 652403"/>
            <a:gd name="connsiteX2" fmla="*/ 780776 w 780776"/>
            <a:gd name="connsiteY2" fmla="*/ 650905 h 652403"/>
            <a:gd name="connsiteX3" fmla="*/ 0 w 780776"/>
            <a:gd name="connsiteY3" fmla="*/ 652403 h 652403"/>
            <a:gd name="connsiteX4" fmla="*/ 2995 w 780776"/>
            <a:gd name="connsiteY4" fmla="*/ 0 h 652403"/>
            <a:gd name="connsiteX0" fmla="*/ 22251 w 800032"/>
            <a:gd name="connsiteY0" fmla="*/ 0 h 652403"/>
            <a:gd name="connsiteX1" fmla="*/ 800032 w 800032"/>
            <a:gd name="connsiteY1" fmla="*/ 0 h 652403"/>
            <a:gd name="connsiteX2" fmla="*/ 800032 w 800032"/>
            <a:gd name="connsiteY2" fmla="*/ 650905 h 652403"/>
            <a:gd name="connsiteX3" fmla="*/ 19256 w 800032"/>
            <a:gd name="connsiteY3" fmla="*/ 652403 h 652403"/>
            <a:gd name="connsiteX4" fmla="*/ 22251 w 800032"/>
            <a:gd name="connsiteY4" fmla="*/ 0 h 652403"/>
            <a:gd name="connsiteX0" fmla="*/ 22001 w 801300"/>
            <a:gd name="connsiteY0" fmla="*/ 0 h 653926"/>
            <a:gd name="connsiteX1" fmla="*/ 801300 w 801300"/>
            <a:gd name="connsiteY1" fmla="*/ 1523 h 653926"/>
            <a:gd name="connsiteX2" fmla="*/ 801300 w 801300"/>
            <a:gd name="connsiteY2" fmla="*/ 652428 h 653926"/>
            <a:gd name="connsiteX3" fmla="*/ 20524 w 801300"/>
            <a:gd name="connsiteY3" fmla="*/ 653926 h 653926"/>
            <a:gd name="connsiteX4" fmla="*/ 22001 w 801300"/>
            <a:gd name="connsiteY4" fmla="*/ 0 h 653926"/>
            <a:gd name="connsiteX0" fmla="*/ 19214 w 818234"/>
            <a:gd name="connsiteY0" fmla="*/ 0 h 666109"/>
            <a:gd name="connsiteX1" fmla="*/ 818234 w 818234"/>
            <a:gd name="connsiteY1" fmla="*/ 13706 h 666109"/>
            <a:gd name="connsiteX2" fmla="*/ 818234 w 818234"/>
            <a:gd name="connsiteY2" fmla="*/ 664611 h 666109"/>
            <a:gd name="connsiteX3" fmla="*/ 37458 w 818234"/>
            <a:gd name="connsiteY3" fmla="*/ 666109 h 666109"/>
            <a:gd name="connsiteX4" fmla="*/ 19214 w 818234"/>
            <a:gd name="connsiteY4" fmla="*/ 0 h 666109"/>
            <a:gd name="connsiteX0" fmla="*/ 8798 w 807818"/>
            <a:gd name="connsiteY0" fmla="*/ 0 h 666109"/>
            <a:gd name="connsiteX1" fmla="*/ 807818 w 807818"/>
            <a:gd name="connsiteY1" fmla="*/ 13706 h 666109"/>
            <a:gd name="connsiteX2" fmla="*/ 807818 w 807818"/>
            <a:gd name="connsiteY2" fmla="*/ 664611 h 666109"/>
            <a:gd name="connsiteX3" fmla="*/ 27042 w 807818"/>
            <a:gd name="connsiteY3" fmla="*/ 666109 h 666109"/>
            <a:gd name="connsiteX4" fmla="*/ 8798 w 807818"/>
            <a:gd name="connsiteY4" fmla="*/ 0 h 6661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07818" h="666109">
              <a:moveTo>
                <a:pt x="8798" y="0"/>
              </a:moveTo>
              <a:lnTo>
                <a:pt x="807818" y="13706"/>
              </a:lnTo>
              <a:lnTo>
                <a:pt x="807818" y="664611"/>
              </a:lnTo>
              <a:lnTo>
                <a:pt x="27042" y="666109"/>
              </a:lnTo>
              <a:cubicBezTo>
                <a:pt x="63983" y="439655"/>
                <a:pt x="-27795" y="82169"/>
                <a:pt x="8798" y="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62809</xdr:colOff>
      <xdr:row>29</xdr:row>
      <xdr:rowOff>55463</xdr:rowOff>
    </xdr:from>
    <xdr:to>
      <xdr:col>3</xdr:col>
      <xdr:colOff>238243</xdr:colOff>
      <xdr:row>33</xdr:row>
      <xdr:rowOff>66205</xdr:rowOff>
    </xdr:to>
    <xdr:sp macro="" textlink="">
      <xdr:nvSpPr>
        <xdr:cNvPr id="13" name="Section_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357013" y="5319841"/>
          <a:ext cx="865249" cy="736863"/>
        </a:xfrm>
        <a:custGeom>
          <a:avLst/>
          <a:gdLst>
            <a:gd name="connsiteX0" fmla="*/ 0 w 784407"/>
            <a:gd name="connsiteY0" fmla="*/ 0 h 659761"/>
            <a:gd name="connsiteX1" fmla="*/ 784407 w 784407"/>
            <a:gd name="connsiteY1" fmla="*/ 0 h 659761"/>
            <a:gd name="connsiteX2" fmla="*/ 784407 w 784407"/>
            <a:gd name="connsiteY2" fmla="*/ 659761 h 659761"/>
            <a:gd name="connsiteX3" fmla="*/ 0 w 784407"/>
            <a:gd name="connsiteY3" fmla="*/ 659761 h 659761"/>
            <a:gd name="connsiteX4" fmla="*/ 0 w 784407"/>
            <a:gd name="connsiteY4" fmla="*/ 0 h 659761"/>
            <a:gd name="connsiteX0" fmla="*/ 0 w 836471"/>
            <a:gd name="connsiteY0" fmla="*/ 0 h 659761"/>
            <a:gd name="connsiteX1" fmla="*/ 784407 w 836471"/>
            <a:gd name="connsiteY1" fmla="*/ 0 h 659761"/>
            <a:gd name="connsiteX2" fmla="*/ 836468 w 836471"/>
            <a:gd name="connsiteY2" fmla="*/ 387353 h 659761"/>
            <a:gd name="connsiteX3" fmla="*/ 784407 w 836471"/>
            <a:gd name="connsiteY3" fmla="*/ 659761 h 659761"/>
            <a:gd name="connsiteX4" fmla="*/ 0 w 836471"/>
            <a:gd name="connsiteY4" fmla="*/ 659761 h 659761"/>
            <a:gd name="connsiteX5" fmla="*/ 0 w 836471"/>
            <a:gd name="connsiteY5" fmla="*/ 0 h 659761"/>
            <a:gd name="connsiteX0" fmla="*/ 0 w 843494"/>
            <a:gd name="connsiteY0" fmla="*/ 0 h 659761"/>
            <a:gd name="connsiteX1" fmla="*/ 784407 w 843494"/>
            <a:gd name="connsiteY1" fmla="*/ 0 h 659761"/>
            <a:gd name="connsiteX2" fmla="*/ 836468 w 843494"/>
            <a:gd name="connsiteY2" fmla="*/ 387353 h 659761"/>
            <a:gd name="connsiteX3" fmla="*/ 784407 w 843494"/>
            <a:gd name="connsiteY3" fmla="*/ 659761 h 659761"/>
            <a:gd name="connsiteX4" fmla="*/ 0 w 843494"/>
            <a:gd name="connsiteY4" fmla="*/ 659761 h 659761"/>
            <a:gd name="connsiteX5" fmla="*/ 0 w 843494"/>
            <a:gd name="connsiteY5" fmla="*/ 0 h 659761"/>
            <a:gd name="connsiteX0" fmla="*/ 0 w 843494"/>
            <a:gd name="connsiteY0" fmla="*/ 0 h 659761"/>
            <a:gd name="connsiteX1" fmla="*/ 784407 w 843494"/>
            <a:gd name="connsiteY1" fmla="*/ 0 h 659761"/>
            <a:gd name="connsiteX2" fmla="*/ 836468 w 843494"/>
            <a:gd name="connsiteY2" fmla="*/ 387353 h 659761"/>
            <a:gd name="connsiteX3" fmla="*/ 784407 w 843494"/>
            <a:gd name="connsiteY3" fmla="*/ 659761 h 659761"/>
            <a:gd name="connsiteX4" fmla="*/ 0 w 843494"/>
            <a:gd name="connsiteY4" fmla="*/ 659761 h 659761"/>
            <a:gd name="connsiteX5" fmla="*/ 0 w 843494"/>
            <a:gd name="connsiteY5" fmla="*/ 0 h 659761"/>
            <a:gd name="connsiteX0" fmla="*/ 0 w 866332"/>
            <a:gd name="connsiteY0" fmla="*/ 0 h 659761"/>
            <a:gd name="connsiteX1" fmla="*/ 784407 w 866332"/>
            <a:gd name="connsiteY1" fmla="*/ 0 h 659761"/>
            <a:gd name="connsiteX2" fmla="*/ 860616 w 866332"/>
            <a:gd name="connsiteY2" fmla="*/ 438332 h 659761"/>
            <a:gd name="connsiteX3" fmla="*/ 784407 w 866332"/>
            <a:gd name="connsiteY3" fmla="*/ 659761 h 659761"/>
            <a:gd name="connsiteX4" fmla="*/ 0 w 866332"/>
            <a:gd name="connsiteY4" fmla="*/ 659761 h 659761"/>
            <a:gd name="connsiteX5" fmla="*/ 0 w 866332"/>
            <a:gd name="connsiteY5" fmla="*/ 0 h 6597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866332" h="659761">
              <a:moveTo>
                <a:pt x="0" y="0"/>
              </a:moveTo>
              <a:lnTo>
                <a:pt x="784407" y="0"/>
              </a:lnTo>
              <a:cubicBezTo>
                <a:pt x="783873" y="105864"/>
                <a:pt x="892006" y="213070"/>
                <a:pt x="860616" y="438332"/>
              </a:cubicBezTo>
              <a:cubicBezTo>
                <a:pt x="815089" y="600237"/>
                <a:pt x="801761" y="568958"/>
                <a:pt x="784407" y="659761"/>
              </a:cubicBezTo>
              <a:lnTo>
                <a:pt x="0" y="659761"/>
              </a:lnTo>
              <a:lnTo>
                <a:pt x="0" y="0"/>
              </a:lnTo>
              <a:close/>
            </a:path>
          </a:pathLst>
        </a:custGeom>
        <a:solidFill>
          <a:srgbClr val="FDE72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531001</xdr:colOff>
      <xdr:row>33</xdr:row>
      <xdr:rowOff>71104</xdr:rowOff>
    </xdr:from>
    <xdr:to>
      <xdr:col>2</xdr:col>
      <xdr:colOff>63415</xdr:colOff>
      <xdr:row>38</xdr:row>
      <xdr:rowOff>78862</xdr:rowOff>
    </xdr:to>
    <xdr:sp macro="" textlink="">
      <xdr:nvSpPr>
        <xdr:cNvPr id="14" name="Section_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31001" y="6043279"/>
          <a:ext cx="827814" cy="912633"/>
        </a:xfrm>
        <a:custGeom>
          <a:avLst/>
          <a:gdLst>
            <a:gd name="connsiteX0" fmla="*/ 0 w 781053"/>
            <a:gd name="connsiteY0" fmla="*/ 0 h 661237"/>
            <a:gd name="connsiteX1" fmla="*/ 781053 w 781053"/>
            <a:gd name="connsiteY1" fmla="*/ 0 h 661237"/>
            <a:gd name="connsiteX2" fmla="*/ 781053 w 781053"/>
            <a:gd name="connsiteY2" fmla="*/ 661237 h 661237"/>
            <a:gd name="connsiteX3" fmla="*/ 0 w 781053"/>
            <a:gd name="connsiteY3" fmla="*/ 661237 h 661237"/>
            <a:gd name="connsiteX4" fmla="*/ 0 w 781053"/>
            <a:gd name="connsiteY4" fmla="*/ 0 h 661237"/>
            <a:gd name="connsiteX0" fmla="*/ 0 w 781053"/>
            <a:gd name="connsiteY0" fmla="*/ 0 h 661237"/>
            <a:gd name="connsiteX1" fmla="*/ 781053 w 781053"/>
            <a:gd name="connsiteY1" fmla="*/ 0 h 661237"/>
            <a:gd name="connsiteX2" fmla="*/ 781053 w 781053"/>
            <a:gd name="connsiteY2" fmla="*/ 661237 h 661237"/>
            <a:gd name="connsiteX3" fmla="*/ 14976 w 781053"/>
            <a:gd name="connsiteY3" fmla="*/ 450070 h 661237"/>
            <a:gd name="connsiteX4" fmla="*/ 0 w 781053"/>
            <a:gd name="connsiteY4" fmla="*/ 0 h 661237"/>
            <a:gd name="connsiteX0" fmla="*/ 0 w 781053"/>
            <a:gd name="connsiteY0" fmla="*/ 0 h 661237"/>
            <a:gd name="connsiteX1" fmla="*/ 781053 w 781053"/>
            <a:gd name="connsiteY1" fmla="*/ 0 h 661237"/>
            <a:gd name="connsiteX2" fmla="*/ 781053 w 781053"/>
            <a:gd name="connsiteY2" fmla="*/ 661237 h 661237"/>
            <a:gd name="connsiteX3" fmla="*/ 14976 w 781053"/>
            <a:gd name="connsiteY3" fmla="*/ 450070 h 661237"/>
            <a:gd name="connsiteX4" fmla="*/ 0 w 781053"/>
            <a:gd name="connsiteY4" fmla="*/ 0 h 661237"/>
            <a:gd name="connsiteX0" fmla="*/ 0 w 784048"/>
            <a:gd name="connsiteY0" fmla="*/ 0 h 641768"/>
            <a:gd name="connsiteX1" fmla="*/ 781053 w 784048"/>
            <a:gd name="connsiteY1" fmla="*/ 0 h 641768"/>
            <a:gd name="connsiteX2" fmla="*/ 784048 w 784048"/>
            <a:gd name="connsiteY2" fmla="*/ 641768 h 641768"/>
            <a:gd name="connsiteX3" fmla="*/ 14976 w 784048"/>
            <a:gd name="connsiteY3" fmla="*/ 450070 h 641768"/>
            <a:gd name="connsiteX4" fmla="*/ 0 w 784048"/>
            <a:gd name="connsiteY4" fmla="*/ 0 h 641768"/>
            <a:gd name="connsiteX0" fmla="*/ 0 w 784048"/>
            <a:gd name="connsiteY0" fmla="*/ 0 h 670864"/>
            <a:gd name="connsiteX1" fmla="*/ 781053 w 784048"/>
            <a:gd name="connsiteY1" fmla="*/ 0 h 670864"/>
            <a:gd name="connsiteX2" fmla="*/ 784048 w 784048"/>
            <a:gd name="connsiteY2" fmla="*/ 641768 h 670864"/>
            <a:gd name="connsiteX3" fmla="*/ 14976 w 784048"/>
            <a:gd name="connsiteY3" fmla="*/ 450070 h 670864"/>
            <a:gd name="connsiteX4" fmla="*/ 0 w 784048"/>
            <a:gd name="connsiteY4" fmla="*/ 0 h 670864"/>
            <a:gd name="connsiteX0" fmla="*/ 0 w 781185"/>
            <a:gd name="connsiteY0" fmla="*/ 0 h 681413"/>
            <a:gd name="connsiteX1" fmla="*/ 781053 w 781185"/>
            <a:gd name="connsiteY1" fmla="*/ 0 h 681413"/>
            <a:gd name="connsiteX2" fmla="*/ 778057 w 781185"/>
            <a:gd name="connsiteY2" fmla="*/ 658242 h 681413"/>
            <a:gd name="connsiteX3" fmla="*/ 14976 w 781185"/>
            <a:gd name="connsiteY3" fmla="*/ 450070 h 681413"/>
            <a:gd name="connsiteX4" fmla="*/ 0 w 781185"/>
            <a:gd name="connsiteY4" fmla="*/ 0 h 681413"/>
            <a:gd name="connsiteX0" fmla="*/ 0 w 781185"/>
            <a:gd name="connsiteY0" fmla="*/ 0 h 722900"/>
            <a:gd name="connsiteX1" fmla="*/ 781053 w 781185"/>
            <a:gd name="connsiteY1" fmla="*/ 0 h 722900"/>
            <a:gd name="connsiteX2" fmla="*/ 778057 w 781185"/>
            <a:gd name="connsiteY2" fmla="*/ 658242 h 722900"/>
            <a:gd name="connsiteX3" fmla="*/ 14976 w 781185"/>
            <a:gd name="connsiteY3" fmla="*/ 450070 h 722900"/>
            <a:gd name="connsiteX4" fmla="*/ 0 w 781185"/>
            <a:gd name="connsiteY4" fmla="*/ 0 h 722900"/>
            <a:gd name="connsiteX0" fmla="*/ 45092 w 826277"/>
            <a:gd name="connsiteY0" fmla="*/ 0 h 722900"/>
            <a:gd name="connsiteX1" fmla="*/ 826145 w 826277"/>
            <a:gd name="connsiteY1" fmla="*/ 0 h 722900"/>
            <a:gd name="connsiteX2" fmla="*/ 823149 w 826277"/>
            <a:gd name="connsiteY2" fmla="*/ 658242 h 722900"/>
            <a:gd name="connsiteX3" fmla="*/ 60068 w 826277"/>
            <a:gd name="connsiteY3" fmla="*/ 450070 h 722900"/>
            <a:gd name="connsiteX4" fmla="*/ 45092 w 826277"/>
            <a:gd name="connsiteY4" fmla="*/ 0 h 722900"/>
            <a:gd name="connsiteX0" fmla="*/ 45092 w 826376"/>
            <a:gd name="connsiteY0" fmla="*/ 0 h 769592"/>
            <a:gd name="connsiteX1" fmla="*/ 826145 w 826376"/>
            <a:gd name="connsiteY1" fmla="*/ 0 h 769592"/>
            <a:gd name="connsiteX2" fmla="*/ 825526 w 826376"/>
            <a:gd name="connsiteY2" fmla="*/ 720491 h 769592"/>
            <a:gd name="connsiteX3" fmla="*/ 60068 w 826376"/>
            <a:gd name="connsiteY3" fmla="*/ 450070 h 769592"/>
            <a:gd name="connsiteX4" fmla="*/ 45092 w 826376"/>
            <a:gd name="connsiteY4" fmla="*/ 0 h 7695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26376" h="769592">
              <a:moveTo>
                <a:pt x="45092" y="0"/>
              </a:moveTo>
              <a:lnTo>
                <a:pt x="826145" y="0"/>
              </a:lnTo>
              <a:cubicBezTo>
                <a:pt x="827143" y="213923"/>
                <a:pt x="824528" y="506568"/>
                <a:pt x="825526" y="720491"/>
              </a:cubicBezTo>
              <a:cubicBezTo>
                <a:pt x="364990" y="831316"/>
                <a:pt x="60828" y="760082"/>
                <a:pt x="60068" y="450070"/>
              </a:cubicBezTo>
              <a:cubicBezTo>
                <a:pt x="55076" y="300047"/>
                <a:pt x="-62239" y="181473"/>
                <a:pt x="45092" y="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59577</xdr:colOff>
      <xdr:row>33</xdr:row>
      <xdr:rowOff>77123</xdr:rowOff>
    </xdr:from>
    <xdr:to>
      <xdr:col>3</xdr:col>
      <xdr:colOff>147837</xdr:colOff>
      <xdr:row>38</xdr:row>
      <xdr:rowOff>24801</xdr:rowOff>
    </xdr:to>
    <xdr:sp macro="" textlink="">
      <xdr:nvSpPr>
        <xdr:cNvPr id="15" name="Section_2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354977" y="6049298"/>
          <a:ext cx="778823" cy="852553"/>
        </a:xfrm>
        <a:custGeom>
          <a:avLst/>
          <a:gdLst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778856 w 778856"/>
            <a:gd name="connsiteY2" fmla="*/ 660921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659458 w 778856"/>
            <a:gd name="connsiteY2" fmla="*/ 509326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659458 w 778856"/>
            <a:gd name="connsiteY2" fmla="*/ 509326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659458 w 778856"/>
            <a:gd name="connsiteY2" fmla="*/ 509326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2684 w 781540"/>
            <a:gd name="connsiteY0" fmla="*/ 0 h 646164"/>
            <a:gd name="connsiteX1" fmla="*/ 781540 w 781540"/>
            <a:gd name="connsiteY1" fmla="*/ 0 h 646164"/>
            <a:gd name="connsiteX2" fmla="*/ 662142 w 781540"/>
            <a:gd name="connsiteY2" fmla="*/ 509326 h 646164"/>
            <a:gd name="connsiteX3" fmla="*/ 0 w 781540"/>
            <a:gd name="connsiteY3" fmla="*/ 646164 h 646164"/>
            <a:gd name="connsiteX4" fmla="*/ 2684 w 781540"/>
            <a:gd name="connsiteY4" fmla="*/ 0 h 646164"/>
            <a:gd name="connsiteX0" fmla="*/ 88 w 778944"/>
            <a:gd name="connsiteY0" fmla="*/ 0 h 714857"/>
            <a:gd name="connsiteX1" fmla="*/ 778944 w 778944"/>
            <a:gd name="connsiteY1" fmla="*/ 0 h 714857"/>
            <a:gd name="connsiteX2" fmla="*/ 659546 w 778944"/>
            <a:gd name="connsiteY2" fmla="*/ 509326 h 714857"/>
            <a:gd name="connsiteX3" fmla="*/ 4551 w 778944"/>
            <a:gd name="connsiteY3" fmla="*/ 714857 h 714857"/>
            <a:gd name="connsiteX4" fmla="*/ 88 w 778944"/>
            <a:gd name="connsiteY4" fmla="*/ 0 h 714857"/>
            <a:gd name="connsiteX0" fmla="*/ 301 w 779157"/>
            <a:gd name="connsiteY0" fmla="*/ 0 h 702911"/>
            <a:gd name="connsiteX1" fmla="*/ 779157 w 779157"/>
            <a:gd name="connsiteY1" fmla="*/ 0 h 702911"/>
            <a:gd name="connsiteX2" fmla="*/ 659759 w 779157"/>
            <a:gd name="connsiteY2" fmla="*/ 509326 h 702911"/>
            <a:gd name="connsiteX3" fmla="*/ 0 w 779157"/>
            <a:gd name="connsiteY3" fmla="*/ 702911 h 702911"/>
            <a:gd name="connsiteX4" fmla="*/ 301 w 779157"/>
            <a:gd name="connsiteY4" fmla="*/ 0 h 702911"/>
            <a:gd name="connsiteX0" fmla="*/ 301 w 779157"/>
            <a:gd name="connsiteY0" fmla="*/ 0 h 712867"/>
            <a:gd name="connsiteX1" fmla="*/ 779157 w 779157"/>
            <a:gd name="connsiteY1" fmla="*/ 0 h 712867"/>
            <a:gd name="connsiteX2" fmla="*/ 659759 w 779157"/>
            <a:gd name="connsiteY2" fmla="*/ 509326 h 712867"/>
            <a:gd name="connsiteX3" fmla="*/ 0 w 779157"/>
            <a:gd name="connsiteY3" fmla="*/ 712867 h 712867"/>
            <a:gd name="connsiteX4" fmla="*/ 301 w 779157"/>
            <a:gd name="connsiteY4" fmla="*/ 0 h 7128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79157" h="712867">
              <a:moveTo>
                <a:pt x="301" y="0"/>
              </a:moveTo>
              <a:lnTo>
                <a:pt x="779157" y="0"/>
              </a:lnTo>
              <a:cubicBezTo>
                <a:pt x="739358" y="169775"/>
                <a:pt x="845787" y="201371"/>
                <a:pt x="659759" y="509326"/>
              </a:cubicBezTo>
              <a:cubicBezTo>
                <a:pt x="343349" y="656449"/>
                <a:pt x="219819" y="662335"/>
                <a:pt x="0" y="712867"/>
              </a:cubicBezTo>
              <a:cubicBezTo>
                <a:pt x="895" y="497479"/>
                <a:pt x="-594" y="215388"/>
                <a:pt x="301" y="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17</xdr:row>
          <xdr:rowOff>142875</xdr:rowOff>
        </xdr:from>
        <xdr:to>
          <xdr:col>10</xdr:col>
          <xdr:colOff>609600</xdr:colOff>
          <xdr:row>22</xdr:row>
          <xdr:rowOff>161925</xdr:rowOff>
        </xdr:to>
        <xdr:sp macro="" textlink="">
          <xdr:nvSpPr>
            <xdr:cNvPr id="1027" name="Plot express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Expression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E9C1D-71AB-4D5A-A773-5B3DDB417931}">
  <sheetPr codeName="Sheet1"/>
  <dimension ref="A1:K40"/>
  <sheetViews>
    <sheetView tabSelected="1" zoomScale="89" zoomScaleNormal="340" workbookViewId="0">
      <selection activeCell="M11" sqref="M11"/>
    </sheetView>
  </sheetViews>
  <sheetFormatPr defaultColWidth="8.85546875" defaultRowHeight="15" x14ac:dyDescent="0.25"/>
  <cols>
    <col min="3" max="3" width="9.7109375" bestFit="1" customWidth="1"/>
    <col min="11" max="11" width="10.5703125" customWidth="1"/>
  </cols>
  <sheetData>
    <row r="1" spans="2:11" x14ac:dyDescent="0.25">
      <c r="B1" t="s">
        <v>0</v>
      </c>
      <c r="F1" t="s">
        <v>1</v>
      </c>
      <c r="J1" t="s">
        <v>2</v>
      </c>
    </row>
    <row r="3" spans="2:11" x14ac:dyDescent="0.25">
      <c r="B3" t="s">
        <v>3</v>
      </c>
      <c r="C3" t="s">
        <v>4</v>
      </c>
      <c r="D3" t="s">
        <v>5</v>
      </c>
      <c r="F3" t="s">
        <v>6</v>
      </c>
      <c r="G3" t="s">
        <v>7</v>
      </c>
      <c r="H3" t="s">
        <v>8</v>
      </c>
      <c r="J3" t="s">
        <v>9</v>
      </c>
      <c r="K3" t="s">
        <v>10</v>
      </c>
    </row>
    <row r="4" spans="2:11" x14ac:dyDescent="0.25">
      <c r="B4">
        <v>1</v>
      </c>
      <c r="C4" t="s">
        <v>11</v>
      </c>
      <c r="D4">
        <v>0</v>
      </c>
      <c r="F4">
        <v>0</v>
      </c>
      <c r="G4">
        <v>9</v>
      </c>
      <c r="H4" s="1"/>
      <c r="J4" t="s">
        <v>3</v>
      </c>
      <c r="K4">
        <v>12</v>
      </c>
    </row>
    <row r="5" spans="2:11" x14ac:dyDescent="0.25">
      <c r="B5">
        <v>2</v>
      </c>
      <c r="C5" t="s">
        <v>12</v>
      </c>
      <c r="D5">
        <v>0</v>
      </c>
      <c r="F5">
        <v>10</v>
      </c>
      <c r="G5">
        <v>19</v>
      </c>
      <c r="H5" s="2"/>
      <c r="J5" t="s">
        <v>4</v>
      </c>
      <c r="K5" t="str">
        <f xml:space="preserve"> "Section_" &amp; K4</f>
        <v>Section_12</v>
      </c>
    </row>
    <row r="6" spans="2:11" x14ac:dyDescent="0.25">
      <c r="B6">
        <v>3</v>
      </c>
      <c r="C6" t="s">
        <v>13</v>
      </c>
      <c r="D6">
        <v>0</v>
      </c>
      <c r="F6">
        <v>20</v>
      </c>
      <c r="G6">
        <v>29</v>
      </c>
      <c r="H6" s="3"/>
      <c r="J6" t="s">
        <v>5</v>
      </c>
      <c r="K6">
        <f>VLOOKUP(K4,B:D,3)</f>
        <v>0</v>
      </c>
    </row>
    <row r="7" spans="2:11" x14ac:dyDescent="0.25">
      <c r="B7">
        <v>4</v>
      </c>
      <c r="C7" t="s">
        <v>14</v>
      </c>
      <c r="D7">
        <v>92.73</v>
      </c>
      <c r="F7">
        <v>30</v>
      </c>
      <c r="G7">
        <v>39</v>
      </c>
      <c r="H7" s="4"/>
      <c r="J7" t="s">
        <v>8</v>
      </c>
      <c r="K7" t="str">
        <f xml:space="preserve"> "color" &amp; MATCH(K6,F4:F13,1)</f>
        <v>color1</v>
      </c>
    </row>
    <row r="8" spans="2:11" x14ac:dyDescent="0.25">
      <c r="B8">
        <v>5</v>
      </c>
      <c r="C8" t="s">
        <v>15</v>
      </c>
      <c r="D8">
        <v>3.26</v>
      </c>
      <c r="F8">
        <v>40</v>
      </c>
      <c r="G8">
        <v>49</v>
      </c>
      <c r="H8" s="5"/>
    </row>
    <row r="9" spans="2:11" x14ac:dyDescent="0.25">
      <c r="B9">
        <v>6</v>
      </c>
      <c r="C9" t="s">
        <v>16</v>
      </c>
      <c r="D9">
        <v>0.08</v>
      </c>
      <c r="F9">
        <v>50</v>
      </c>
      <c r="G9">
        <v>59</v>
      </c>
      <c r="H9" s="6"/>
    </row>
    <row r="10" spans="2:11" x14ac:dyDescent="0.25">
      <c r="B10">
        <v>7</v>
      </c>
      <c r="C10" t="s">
        <v>17</v>
      </c>
      <c r="D10">
        <v>0</v>
      </c>
      <c r="F10">
        <v>60</v>
      </c>
      <c r="G10">
        <v>69</v>
      </c>
      <c r="H10" s="7"/>
    </row>
    <row r="11" spans="2:11" x14ac:dyDescent="0.25">
      <c r="B11">
        <v>8</v>
      </c>
      <c r="C11" t="s">
        <v>18</v>
      </c>
      <c r="D11">
        <v>0.67</v>
      </c>
      <c r="F11">
        <v>70</v>
      </c>
      <c r="G11">
        <v>79</v>
      </c>
      <c r="H11" s="8"/>
    </row>
    <row r="12" spans="2:11" x14ac:dyDescent="0.25">
      <c r="B12">
        <v>9</v>
      </c>
      <c r="C12" t="s">
        <v>19</v>
      </c>
      <c r="D12">
        <v>3.24</v>
      </c>
      <c r="F12">
        <v>80</v>
      </c>
      <c r="G12">
        <v>89</v>
      </c>
      <c r="H12" s="9"/>
    </row>
    <row r="13" spans="2:11" x14ac:dyDescent="0.25">
      <c r="B13">
        <v>10</v>
      </c>
      <c r="C13" t="s">
        <v>20</v>
      </c>
      <c r="D13">
        <v>0.03</v>
      </c>
      <c r="F13">
        <v>90</v>
      </c>
      <c r="G13">
        <v>100</v>
      </c>
      <c r="H13" s="10"/>
    </row>
    <row r="14" spans="2:11" x14ac:dyDescent="0.25">
      <c r="B14">
        <v>11</v>
      </c>
      <c r="C14" t="s">
        <v>21</v>
      </c>
      <c r="D14">
        <v>0</v>
      </c>
    </row>
    <row r="15" spans="2:11" x14ac:dyDescent="0.25">
      <c r="B15">
        <v>12</v>
      </c>
      <c r="C15" t="s">
        <v>22</v>
      </c>
      <c r="D15">
        <v>0</v>
      </c>
    </row>
    <row r="18" spans="1:7" x14ac:dyDescent="0.25">
      <c r="A18" s="11"/>
      <c r="B18" s="11"/>
      <c r="C18" s="11"/>
      <c r="D18" s="11"/>
      <c r="E18" s="11"/>
      <c r="F18" s="11"/>
      <c r="G18" s="11"/>
    </row>
    <row r="19" spans="1:7" x14ac:dyDescent="0.25">
      <c r="A19" s="11"/>
      <c r="B19" s="11"/>
      <c r="C19" s="11"/>
      <c r="D19" s="11"/>
      <c r="E19" s="11"/>
      <c r="F19" s="11"/>
      <c r="G19" s="11"/>
    </row>
    <row r="20" spans="1:7" x14ac:dyDescent="0.25">
      <c r="A20" s="11"/>
      <c r="B20" s="11"/>
      <c r="C20" s="11"/>
      <c r="D20" s="11"/>
      <c r="E20" s="11"/>
      <c r="F20" s="11"/>
      <c r="G20" s="11"/>
    </row>
    <row r="21" spans="1:7" x14ac:dyDescent="0.25">
      <c r="A21" s="11"/>
      <c r="B21" s="11"/>
      <c r="C21" s="11"/>
      <c r="D21" s="11"/>
      <c r="E21" s="11"/>
      <c r="F21" s="11"/>
      <c r="G21" s="11"/>
    </row>
    <row r="22" spans="1:7" x14ac:dyDescent="0.25">
      <c r="A22" s="11"/>
      <c r="B22" s="11"/>
      <c r="C22" s="11"/>
      <c r="D22" s="11"/>
      <c r="E22" s="11"/>
      <c r="F22" s="11"/>
      <c r="G22" s="11"/>
    </row>
    <row r="23" spans="1:7" x14ac:dyDescent="0.25">
      <c r="A23" s="11"/>
      <c r="B23" s="11"/>
      <c r="C23" s="11"/>
      <c r="D23" s="11"/>
      <c r="E23" s="11"/>
      <c r="F23" s="11"/>
      <c r="G23" s="11"/>
    </row>
    <row r="24" spans="1:7" x14ac:dyDescent="0.25">
      <c r="A24" s="11"/>
      <c r="B24" s="11"/>
      <c r="C24" s="11"/>
      <c r="D24" s="11"/>
      <c r="E24" s="11"/>
      <c r="F24" s="11"/>
      <c r="G24" s="11"/>
    </row>
    <row r="25" spans="1:7" x14ac:dyDescent="0.25">
      <c r="A25" s="11"/>
      <c r="B25" s="11"/>
      <c r="C25" s="11"/>
      <c r="D25" s="11"/>
      <c r="E25" s="11"/>
      <c r="F25" s="11"/>
      <c r="G25" s="11"/>
    </row>
    <row r="26" spans="1:7" x14ac:dyDescent="0.25">
      <c r="A26" s="11"/>
      <c r="B26" s="11"/>
      <c r="C26" s="11"/>
      <c r="D26" s="11"/>
      <c r="E26" s="11"/>
      <c r="F26" s="11"/>
      <c r="G26" s="11"/>
    </row>
    <row r="27" spans="1:7" x14ac:dyDescent="0.25">
      <c r="A27" s="11"/>
      <c r="B27" s="11"/>
      <c r="C27" s="11"/>
      <c r="D27" s="11"/>
      <c r="E27" s="11"/>
      <c r="F27" s="11"/>
      <c r="G27" s="11"/>
    </row>
    <row r="28" spans="1:7" x14ac:dyDescent="0.25">
      <c r="A28" s="11"/>
      <c r="B28" s="11"/>
      <c r="C28" s="11"/>
      <c r="D28" s="11"/>
      <c r="E28" s="11"/>
      <c r="F28" s="11"/>
      <c r="G28" s="11"/>
    </row>
    <row r="29" spans="1:7" x14ac:dyDescent="0.25">
      <c r="A29" s="11"/>
      <c r="B29" s="11"/>
      <c r="C29" s="11"/>
      <c r="D29" s="11"/>
      <c r="E29" s="11"/>
      <c r="F29" s="11"/>
      <c r="G29" s="11"/>
    </row>
    <row r="30" spans="1:7" x14ac:dyDescent="0.25">
      <c r="A30" s="11"/>
      <c r="B30" s="11"/>
      <c r="C30" s="11"/>
      <c r="D30" s="11"/>
      <c r="E30" s="11"/>
      <c r="F30" s="11"/>
      <c r="G30" s="11"/>
    </row>
    <row r="31" spans="1:7" x14ac:dyDescent="0.25">
      <c r="A31" s="11"/>
      <c r="B31" s="11"/>
      <c r="C31" s="11"/>
      <c r="D31" s="11"/>
      <c r="E31" s="11"/>
      <c r="F31" s="11"/>
      <c r="G31" s="11"/>
    </row>
    <row r="32" spans="1:7" x14ac:dyDescent="0.25">
      <c r="A32" s="11"/>
      <c r="B32" s="11"/>
      <c r="C32" s="11"/>
      <c r="D32" s="11"/>
      <c r="E32" s="11"/>
      <c r="F32" s="11"/>
      <c r="G32" s="11"/>
    </row>
    <row r="33" spans="1:7" x14ac:dyDescent="0.25">
      <c r="A33" s="11"/>
      <c r="B33" s="11"/>
      <c r="C33" s="11"/>
      <c r="D33" s="11"/>
      <c r="E33" s="11"/>
      <c r="F33" s="11"/>
      <c r="G33" s="11"/>
    </row>
    <row r="34" spans="1:7" x14ac:dyDescent="0.25">
      <c r="A34" s="11"/>
      <c r="B34" s="11"/>
      <c r="C34" s="11"/>
      <c r="D34" s="11"/>
      <c r="E34" s="11"/>
      <c r="F34" s="11"/>
      <c r="G34" s="11"/>
    </row>
    <row r="35" spans="1:7" x14ac:dyDescent="0.25">
      <c r="A35" s="11"/>
      <c r="B35" s="11"/>
      <c r="C35" s="11"/>
      <c r="D35" s="11"/>
      <c r="E35" s="11"/>
      <c r="F35" s="11"/>
      <c r="G35" s="11"/>
    </row>
    <row r="36" spans="1:7" x14ac:dyDescent="0.25">
      <c r="A36" s="11"/>
      <c r="B36" s="11"/>
      <c r="C36" s="11"/>
      <c r="D36" s="11"/>
      <c r="E36" s="11"/>
      <c r="F36" s="11"/>
      <c r="G36" s="11"/>
    </row>
    <row r="37" spans="1:7" x14ac:dyDescent="0.25">
      <c r="A37" s="11"/>
      <c r="B37" s="11"/>
      <c r="C37" s="11"/>
      <c r="D37" s="11"/>
      <c r="E37" s="11"/>
      <c r="F37" s="11"/>
      <c r="G37" s="11"/>
    </row>
    <row r="38" spans="1:7" x14ac:dyDescent="0.25">
      <c r="A38" s="11"/>
      <c r="B38" s="11"/>
      <c r="C38" s="11"/>
      <c r="D38" s="11"/>
      <c r="E38" s="11"/>
      <c r="F38" s="11"/>
      <c r="G38" s="11"/>
    </row>
    <row r="39" spans="1:7" x14ac:dyDescent="0.25">
      <c r="A39" s="11"/>
      <c r="B39" s="11"/>
      <c r="C39" s="11"/>
      <c r="D39" s="11"/>
      <c r="E39" s="11"/>
      <c r="F39" s="11"/>
      <c r="G39" s="11"/>
    </row>
    <row r="40" spans="1:7" x14ac:dyDescent="0.25">
      <c r="A40" s="11"/>
      <c r="B40" s="11"/>
      <c r="C40" s="11"/>
      <c r="D40" s="11"/>
      <c r="E40" s="11"/>
      <c r="F40" s="11"/>
      <c r="G40" s="11"/>
    </row>
  </sheetData>
  <phoneticPr fontId="1" type="noConversion"/>
  <pageMargins left="0.7" right="0.7" top="0.75" bottom="0.75" header="0.3" footer="0.3"/>
  <pageSetup paperSize="9" orientation="portrait" horizontalDpi="4294967293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lot expression">
              <controlPr defaultSize="0" print="0" autoFill="0" autoPict="0" macro="[0]!Paint">
                <anchor moveWithCells="1" sizeWithCells="1">
                  <from>
                    <xdr:col>7</xdr:col>
                    <xdr:colOff>609600</xdr:colOff>
                    <xdr:row>17</xdr:row>
                    <xdr:rowOff>142875</xdr:rowOff>
                  </from>
                  <to>
                    <xdr:col>10</xdr:col>
                    <xdr:colOff>609600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Sheet1</vt:lpstr>
      <vt:lpstr>actcolorcode</vt:lpstr>
      <vt:lpstr>actorder</vt:lpstr>
      <vt:lpstr>actstate</vt:lpstr>
      <vt:lpstr>actstatevalue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Antony Rose</dc:creator>
  <cp:keywords/>
  <dc:description/>
  <cp:lastModifiedBy>Antony Rose</cp:lastModifiedBy>
  <cp:revision/>
  <dcterms:created xsi:type="dcterms:W3CDTF">2022-03-18T21:57:47Z</dcterms:created>
  <dcterms:modified xsi:type="dcterms:W3CDTF">2023-03-12T15:54:53Z</dcterms:modified>
  <cp:category/>
  <cp:contentStatus/>
</cp:coreProperties>
</file>